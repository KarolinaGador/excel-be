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25\Desktop\"/>
    </mc:Choice>
  </mc:AlternateContent>
  <xr:revisionPtr revIDLastSave="0" documentId="8_{C23243D7-2D88-4EA4-B381-C0FA220ECC73}" xr6:coauthVersionLast="47" xr6:coauthVersionMax="47" xr10:uidLastSave="{00000000-0000-0000-0000-000000000000}"/>
  <bookViews>
    <workbookView xWindow="-120" yWindow="-120" windowWidth="29040" windowHeight="15840" activeTab="3" xr2:uid="{19EE711A-3283-4873-9107-9C9869A047C7}"/>
  </bookViews>
  <sheets>
    <sheet name="operations" sheetId="2" r:id="rId1"/>
    <sheet name="Dicionary" sheetId="3" r:id="rId2"/>
    <sheet name="1" sheetId="6" r:id="rId3"/>
    <sheet name="2" sheetId="7" r:id="rId4"/>
    <sheet name="3" sheetId="8" r:id="rId5"/>
    <sheet name="4" sheetId="11" r:id="rId6"/>
    <sheet name="5" sheetId="12" r:id="rId7"/>
    <sheet name="6" sheetId="13" r:id="rId8"/>
    <sheet name="7" sheetId="14" r:id="rId9"/>
    <sheet name="8" sheetId="15" r:id="rId10"/>
    <sheet name="9" sheetId="16" r:id="rId11"/>
    <sheet name="10" sheetId="17" r:id="rId12"/>
    <sheet name="11" sheetId="18" r:id="rId13"/>
    <sheet name="12" sheetId="19" r:id="rId14"/>
  </sheets>
  <definedNames>
    <definedName name="_xlnm._FilterDatabase" localSheetId="1" hidden="1">Dicionary!$A$1:$B$17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9" l="1" a="1"/>
  <c r="B11" i="19" s="1"/>
  <c r="B11" i="18" a="1"/>
  <c r="B11" i="18" s="1"/>
  <c r="B11" i="17" a="1"/>
  <c r="B11" i="17" s="1"/>
  <c r="B11" i="16" a="1"/>
  <c r="B11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8" a="1"/>
  <c r="B11" i="8" s="1"/>
  <c r="B11" i="7" a="1"/>
  <c r="B11" i="7" s="1"/>
  <c r="B11" i="6" a="1"/>
  <c r="B11" i="6" s="1"/>
  <c r="D4" i="6" s="1"/>
  <c r="E4" i="6" s="1"/>
  <c r="C9" i="6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K9" i="19" l="1"/>
  <c r="K8" i="19"/>
  <c r="K7" i="19"/>
  <c r="K6" i="19"/>
  <c r="K5" i="19"/>
  <c r="K4" i="19"/>
  <c r="K3" i="19"/>
  <c r="K2" i="19"/>
  <c r="K11" i="19" s="1"/>
  <c r="B16" i="19"/>
  <c r="H7" i="19"/>
  <c r="H6" i="19"/>
  <c r="H5" i="19"/>
  <c r="H4" i="19"/>
  <c r="H3" i="19"/>
  <c r="H2" i="19"/>
  <c r="B15" i="19"/>
  <c r="B14" i="19"/>
  <c r="K10" i="19"/>
  <c r="D8" i="19"/>
  <c r="E8" i="19" s="1"/>
  <c r="D7" i="19"/>
  <c r="E7" i="19" s="1"/>
  <c r="D6" i="19"/>
  <c r="E6" i="19" s="1"/>
  <c r="D5" i="19"/>
  <c r="E5" i="19" s="1"/>
  <c r="D4" i="19"/>
  <c r="E4" i="19" s="1"/>
  <c r="D3" i="19"/>
  <c r="E3" i="19" s="1"/>
  <c r="D2" i="19"/>
  <c r="K9" i="18"/>
  <c r="K8" i="18"/>
  <c r="K7" i="18"/>
  <c r="K6" i="18"/>
  <c r="K5" i="18"/>
  <c r="K4" i="18"/>
  <c r="K3" i="18"/>
  <c r="K2" i="18"/>
  <c r="K10" i="18"/>
  <c r="D8" i="18"/>
  <c r="E8" i="18" s="1"/>
  <c r="D7" i="18"/>
  <c r="E7" i="18" s="1"/>
  <c r="D6" i="18"/>
  <c r="E6" i="18" s="1"/>
  <c r="D4" i="18"/>
  <c r="E4" i="18" s="1"/>
  <c r="D2" i="18"/>
  <c r="B16" i="18"/>
  <c r="H7" i="18"/>
  <c r="H6" i="18"/>
  <c r="H5" i="18"/>
  <c r="H4" i="18"/>
  <c r="H3" i="18"/>
  <c r="H2" i="18"/>
  <c r="B15" i="18"/>
  <c r="B14" i="18"/>
  <c r="D5" i="18"/>
  <c r="E5" i="18" s="1"/>
  <c r="D3" i="18"/>
  <c r="E3" i="18" s="1"/>
  <c r="K9" i="17"/>
  <c r="K8" i="17"/>
  <c r="K7" i="17"/>
  <c r="K6" i="17"/>
  <c r="K5" i="17"/>
  <c r="K4" i="17"/>
  <c r="K3" i="17"/>
  <c r="K2" i="17"/>
  <c r="B14" i="17"/>
  <c r="K10" i="17"/>
  <c r="D8" i="17"/>
  <c r="E8" i="17" s="1"/>
  <c r="D7" i="17"/>
  <c r="E7" i="17" s="1"/>
  <c r="D6" i="17"/>
  <c r="E6" i="17" s="1"/>
  <c r="D5" i="17"/>
  <c r="E5" i="17" s="1"/>
  <c r="D4" i="17"/>
  <c r="E4" i="17" s="1"/>
  <c r="D3" i="17"/>
  <c r="E3" i="17" s="1"/>
  <c r="D2" i="17"/>
  <c r="B16" i="17"/>
  <c r="H7" i="17"/>
  <c r="H6" i="17"/>
  <c r="H5" i="17"/>
  <c r="H4" i="17"/>
  <c r="H3" i="17"/>
  <c r="H2" i="17"/>
  <c r="B15" i="17"/>
  <c r="K8" i="16"/>
  <c r="K6" i="16"/>
  <c r="K4" i="16"/>
  <c r="B16" i="16"/>
  <c r="H7" i="16"/>
  <c r="H6" i="16"/>
  <c r="H5" i="16"/>
  <c r="H4" i="16"/>
  <c r="H3" i="16"/>
  <c r="H2" i="16"/>
  <c r="B15" i="16"/>
  <c r="B14" i="16"/>
  <c r="K10" i="16"/>
  <c r="D8" i="16"/>
  <c r="E8" i="16" s="1"/>
  <c r="D7" i="16"/>
  <c r="E7" i="16" s="1"/>
  <c r="D6" i="16"/>
  <c r="E6" i="16" s="1"/>
  <c r="D5" i="16"/>
  <c r="E5" i="16" s="1"/>
  <c r="D4" i="16"/>
  <c r="E4" i="16" s="1"/>
  <c r="D3" i="16"/>
  <c r="E3" i="16" s="1"/>
  <c r="D2" i="16"/>
  <c r="K9" i="16"/>
  <c r="K7" i="16"/>
  <c r="K5" i="16"/>
  <c r="K3" i="16"/>
  <c r="K2" i="16"/>
  <c r="K9" i="15"/>
  <c r="K8" i="15"/>
  <c r="K7" i="15"/>
  <c r="K6" i="15"/>
  <c r="K5" i="15"/>
  <c r="K4" i="15"/>
  <c r="K3" i="15"/>
  <c r="K2" i="15"/>
  <c r="B16" i="15"/>
  <c r="H7" i="15"/>
  <c r="H6" i="15"/>
  <c r="H5" i="15"/>
  <c r="H4" i="15"/>
  <c r="H3" i="15"/>
  <c r="H2" i="15"/>
  <c r="B14" i="15"/>
  <c r="D6" i="15"/>
  <c r="E6" i="15" s="1"/>
  <c r="D4" i="15"/>
  <c r="E4" i="15" s="1"/>
  <c r="D2" i="15"/>
  <c r="B15" i="15"/>
  <c r="K10" i="15"/>
  <c r="D8" i="15"/>
  <c r="E8" i="15" s="1"/>
  <c r="D7" i="15"/>
  <c r="E7" i="15" s="1"/>
  <c r="D5" i="15"/>
  <c r="E5" i="15" s="1"/>
  <c r="D3" i="15"/>
  <c r="E3" i="15" s="1"/>
  <c r="K9" i="14"/>
  <c r="K8" i="14"/>
  <c r="K7" i="14"/>
  <c r="K6" i="14"/>
  <c r="K5" i="14"/>
  <c r="K4" i="14"/>
  <c r="K3" i="14"/>
  <c r="K2" i="14"/>
  <c r="H7" i="14"/>
  <c r="H6" i="14"/>
  <c r="H5" i="14"/>
  <c r="H4" i="14"/>
  <c r="H3" i="14"/>
  <c r="H2" i="14"/>
  <c r="B16" i="14"/>
  <c r="B15" i="14"/>
  <c r="B14" i="14"/>
  <c r="K10" i="14"/>
  <c r="D8" i="14"/>
  <c r="E8" i="14" s="1"/>
  <c r="D7" i="14"/>
  <c r="E7" i="14" s="1"/>
  <c r="D6" i="14"/>
  <c r="E6" i="14" s="1"/>
  <c r="D5" i="14"/>
  <c r="E5" i="14" s="1"/>
  <c r="D4" i="14"/>
  <c r="E4" i="14" s="1"/>
  <c r="D3" i="14"/>
  <c r="E3" i="14" s="1"/>
  <c r="D2" i="14"/>
  <c r="K9" i="13"/>
  <c r="K8" i="13"/>
  <c r="K7" i="13"/>
  <c r="K6" i="13"/>
  <c r="K5" i="13"/>
  <c r="K4" i="13"/>
  <c r="K3" i="13"/>
  <c r="K2" i="13"/>
  <c r="B16" i="13"/>
  <c r="H7" i="13"/>
  <c r="H6" i="13"/>
  <c r="H5" i="13"/>
  <c r="H4" i="13"/>
  <c r="H3" i="13"/>
  <c r="H2" i="13"/>
  <c r="B15" i="13"/>
  <c r="B14" i="13"/>
  <c r="K10" i="13"/>
  <c r="D8" i="13"/>
  <c r="E8" i="13" s="1"/>
  <c r="D7" i="13"/>
  <c r="E7" i="13" s="1"/>
  <c r="D6" i="13"/>
  <c r="E6" i="13" s="1"/>
  <c r="D5" i="13"/>
  <c r="E5" i="13" s="1"/>
  <c r="D4" i="13"/>
  <c r="E4" i="13" s="1"/>
  <c r="D3" i="13"/>
  <c r="E3" i="13" s="1"/>
  <c r="D2" i="13"/>
  <c r="K9" i="12"/>
  <c r="K8" i="12"/>
  <c r="K7" i="12"/>
  <c r="K6" i="12"/>
  <c r="K5" i="12"/>
  <c r="K4" i="12"/>
  <c r="K3" i="12"/>
  <c r="K2" i="12"/>
  <c r="B16" i="12"/>
  <c r="H7" i="12"/>
  <c r="H6" i="12"/>
  <c r="H5" i="12"/>
  <c r="H4" i="12"/>
  <c r="H3" i="12"/>
  <c r="H2" i="12"/>
  <c r="B15" i="12"/>
  <c r="B14" i="12"/>
  <c r="K10" i="12"/>
  <c r="D8" i="12"/>
  <c r="E8" i="12" s="1"/>
  <c r="D7" i="12"/>
  <c r="E7" i="12" s="1"/>
  <c r="D6" i="12"/>
  <c r="E6" i="12" s="1"/>
  <c r="D5" i="12"/>
  <c r="E5" i="12" s="1"/>
  <c r="D4" i="12"/>
  <c r="E4" i="12" s="1"/>
  <c r="D3" i="12"/>
  <c r="E3" i="12" s="1"/>
  <c r="D2" i="12"/>
  <c r="K9" i="11"/>
  <c r="K8" i="11"/>
  <c r="K7" i="11"/>
  <c r="K6" i="11"/>
  <c r="K5" i="11"/>
  <c r="K4" i="11"/>
  <c r="K3" i="11"/>
  <c r="K2" i="11"/>
  <c r="B16" i="11"/>
  <c r="H7" i="11"/>
  <c r="H6" i="11"/>
  <c r="H5" i="11"/>
  <c r="H4" i="11"/>
  <c r="H3" i="11"/>
  <c r="H2" i="11"/>
  <c r="B15" i="11"/>
  <c r="B14" i="11"/>
  <c r="K10" i="11"/>
  <c r="D8" i="11"/>
  <c r="E8" i="11" s="1"/>
  <c r="D7" i="11"/>
  <c r="E7" i="11" s="1"/>
  <c r="D6" i="11"/>
  <c r="E6" i="11" s="1"/>
  <c r="D5" i="11"/>
  <c r="E5" i="11" s="1"/>
  <c r="D4" i="11"/>
  <c r="E4" i="11" s="1"/>
  <c r="D3" i="11"/>
  <c r="E3" i="11" s="1"/>
  <c r="D2" i="11"/>
  <c r="K9" i="8"/>
  <c r="K8" i="8"/>
  <c r="K7" i="8"/>
  <c r="K6" i="8"/>
  <c r="K5" i="8"/>
  <c r="K4" i="8"/>
  <c r="K3" i="8"/>
  <c r="K2" i="8"/>
  <c r="B16" i="8"/>
  <c r="H7" i="8"/>
  <c r="H6" i="8"/>
  <c r="H5" i="8"/>
  <c r="H4" i="8"/>
  <c r="H3" i="8"/>
  <c r="H2" i="8"/>
  <c r="B15" i="8"/>
  <c r="B14" i="8"/>
  <c r="K10" i="8"/>
  <c r="D8" i="8"/>
  <c r="E8" i="8" s="1"/>
  <c r="D7" i="8"/>
  <c r="E7" i="8" s="1"/>
  <c r="D6" i="8"/>
  <c r="E6" i="8" s="1"/>
  <c r="D5" i="8"/>
  <c r="E5" i="8" s="1"/>
  <c r="D4" i="8"/>
  <c r="E4" i="8" s="1"/>
  <c r="D3" i="8"/>
  <c r="E3" i="8" s="1"/>
  <c r="D2" i="8"/>
  <c r="K9" i="7"/>
  <c r="K8" i="7"/>
  <c r="K7" i="7"/>
  <c r="K6" i="7"/>
  <c r="K5" i="7"/>
  <c r="K4" i="7"/>
  <c r="K3" i="7"/>
  <c r="K2" i="7"/>
  <c r="B16" i="7"/>
  <c r="H7" i="7"/>
  <c r="H6" i="7"/>
  <c r="H5" i="7"/>
  <c r="H4" i="7"/>
  <c r="H3" i="7"/>
  <c r="H2" i="7"/>
  <c r="B14" i="7"/>
  <c r="B15" i="7"/>
  <c r="K10" i="7"/>
  <c r="D8" i="7"/>
  <c r="E8" i="7" s="1"/>
  <c r="D7" i="7"/>
  <c r="E7" i="7" s="1"/>
  <c r="D6" i="7"/>
  <c r="E6" i="7" s="1"/>
  <c r="D5" i="7"/>
  <c r="E5" i="7" s="1"/>
  <c r="D4" i="7"/>
  <c r="E4" i="7" s="1"/>
  <c r="D3" i="7"/>
  <c r="E3" i="7" s="1"/>
  <c r="D2" i="7"/>
  <c r="B15" i="6"/>
  <c r="B16" i="6"/>
  <c r="B14" i="6"/>
  <c r="K7" i="6"/>
  <c r="K3" i="6"/>
  <c r="K9" i="6"/>
  <c r="K5" i="6"/>
  <c r="K8" i="6"/>
  <c r="K4" i="6"/>
  <c r="K10" i="6"/>
  <c r="K6" i="6"/>
  <c r="K2" i="6"/>
  <c r="H5" i="6"/>
  <c r="H7" i="6"/>
  <c r="H3" i="6"/>
  <c r="H4" i="6"/>
  <c r="H6" i="6"/>
  <c r="H2" i="6"/>
  <c r="D7" i="6"/>
  <c r="E7" i="6" s="1"/>
  <c r="D3" i="6"/>
  <c r="E3" i="6" s="1"/>
  <c r="D6" i="6"/>
  <c r="E6" i="6" s="1"/>
  <c r="D2" i="6"/>
  <c r="E2" i="6" s="1"/>
  <c r="D5" i="6"/>
  <c r="E5" i="6" s="1"/>
  <c r="D8" i="6"/>
  <c r="E8" i="6" s="1"/>
  <c r="C2" i="7" a="1"/>
  <c r="H8" i="19" l="1"/>
  <c r="K11" i="18"/>
  <c r="D9" i="19"/>
  <c r="B17" i="19"/>
  <c r="B17" i="18"/>
  <c r="H8" i="17"/>
  <c r="K11" i="17"/>
  <c r="D9" i="18"/>
  <c r="H8" i="18"/>
  <c r="B17" i="16"/>
  <c r="D9" i="17"/>
  <c r="B17" i="17"/>
  <c r="D9" i="16"/>
  <c r="H8" i="16"/>
  <c r="K11" i="15"/>
  <c r="K11" i="16"/>
  <c r="H8" i="15"/>
  <c r="D9" i="15"/>
  <c r="K11" i="14"/>
  <c r="B17" i="15"/>
  <c r="D9" i="14"/>
  <c r="B17" i="14"/>
  <c r="H8" i="14"/>
  <c r="H8" i="13"/>
  <c r="K11" i="13"/>
  <c r="K11" i="12"/>
  <c r="D9" i="13"/>
  <c r="B17" i="13"/>
  <c r="H8" i="12"/>
  <c r="D9" i="12"/>
  <c r="B17" i="12"/>
  <c r="K11" i="11"/>
  <c r="H8" i="11"/>
  <c r="D9" i="11"/>
  <c r="B17" i="11"/>
  <c r="D9" i="8"/>
  <c r="B17" i="8"/>
  <c r="K11" i="8"/>
  <c r="H8" i="8"/>
  <c r="C2" i="7"/>
  <c r="C9" i="7" s="1"/>
  <c r="B17" i="7"/>
  <c r="K11" i="7"/>
  <c r="H8" i="7"/>
  <c r="D9" i="7"/>
  <c r="B17" i="6"/>
  <c r="K11" i="6"/>
  <c r="H8" i="6"/>
  <c r="E9" i="6"/>
  <c r="D9" i="6"/>
  <c r="E2" i="7" l="1"/>
  <c r="E9" i="7" s="1"/>
  <c r="C2" i="8" a="1"/>
  <c r="C2" i="8" l="1"/>
  <c r="E2" i="8" s="1"/>
  <c r="C2" i="11" a="1"/>
  <c r="C2" i="11" l="1"/>
  <c r="E9" i="8"/>
  <c r="C9" i="8"/>
  <c r="E2" i="11" l="1"/>
  <c r="C9" i="11"/>
  <c r="C2" i="12" a="1"/>
  <c r="C2" i="12" l="1"/>
  <c r="E9" i="11"/>
  <c r="C9" i="12" l="1"/>
  <c r="E2" i="12"/>
  <c r="C2" i="13" a="1"/>
  <c r="C2" i="13" l="1"/>
  <c r="E9" i="12"/>
  <c r="E2" i="13" l="1"/>
  <c r="C9" i="13"/>
  <c r="C2" i="14" a="1"/>
  <c r="C2" i="14" l="1"/>
  <c r="E9" i="13"/>
  <c r="C9" i="14" l="1"/>
  <c r="E2" i="14"/>
  <c r="C2" i="15" a="1"/>
  <c r="C2" i="15" l="1"/>
  <c r="E9" i="14"/>
  <c r="C9" i="15" l="1"/>
  <c r="E2" i="15"/>
  <c r="C2" i="16" a="1"/>
  <c r="C2" i="16" l="1"/>
  <c r="E9" i="15"/>
  <c r="C9" i="16" l="1"/>
  <c r="E2" i="16"/>
  <c r="C2" i="17" a="1"/>
  <c r="C2" i="17" l="1"/>
  <c r="E9" i="16"/>
  <c r="C9" i="17" l="1"/>
  <c r="E2" i="17"/>
  <c r="C2" i="18" a="1"/>
  <c r="C2" i="18" l="1"/>
  <c r="E9" i="17"/>
  <c r="C9" i="18" l="1"/>
  <c r="E2" i="18"/>
  <c r="C2" i="19" a="1"/>
  <c r="C2" i="19" l="1"/>
  <c r="E9" i="18"/>
  <c r="E2" i="19" l="1"/>
  <c r="E9" i="19" s="1"/>
  <c r="C9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<sst xmlns="http://schemas.openxmlformats.org/spreadsheetml/2006/main" count="1261" uniqueCount="39">
  <si>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</si>
  <si>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</si>
  <si>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</si>
  <si>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</si>
  <si>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</si>
  <si>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</si>
  <si>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</si>
  <si>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</si>
  <si>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</si>
  <si>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</si>
  <si>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</si>
  <si>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</si>
  <si>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</si>
  <si>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</si>
  <si>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</si>
  <si>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</si>
  <si>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</si>
  <si>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</si>
  <si>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</si>
  <si>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</si>
  <si>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</si>
  <si>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</si>
  <si>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</si>
  <si>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</si>
  <si>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</si>
  <si>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</si>
  <si>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</si>
  <si>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</si>
  <si>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</si>
  <si>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</si>
  <si>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</si>
  <si>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</si>
  <si>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</si>
  <si>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</si>
  <si>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Transfert</t>
  </si>
  <si>
    <t>Opening balance</t>
  </si>
  <si>
    <t>Operations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</si>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</sst>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_-* #,##0.00\ [$zł-415]_-;\-* #,##0.00\ [$zł-415]_-;_-* &quot;-&quot;??\ [$zł-415]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65" fontId="0" fillId="0" borderId="0" xfId="0" applyNumberFormat="1"/>
  </cellXfs>
  <cellStyles count="1">
    <cellStyle name="Normal" xfId="0" builtinId="0"/>
  </cellStyles>
  <dxfs count="206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operations" displayName="operations" ref="A1:G207" totalsRowShown="0" headerRowDxfId="205" dataDxfId="204">
  <autoFilter ref="A1:G207" xr:uid="{77EA216C-FFD9-4A05-BF08-B832A43E3520}"/>
  <tableColumns count="7">
    <tableColumn id="1" xr3:uid="{68ACE8F2-D3B7-4A07-A81C-AF60D2DE6312}" name="Amount" dataDxfId="203"/>
    <tableColumn id="2" xr3:uid="{7254576B-CAD8-4BF8-91A7-FCE7DBDF3336}" name="Bank" dataDxfId="202"/>
    <tableColumn id="3" xr3:uid="{B4A67B35-2B8C-48AF-AB70-F7C5686F9E6F}" name="Product" dataDxfId="201"/>
    <tableColumn id="4" xr3:uid="{0AA0F34C-1B3B-40BD-A2ED-C43E9ACECCE2}" name="Category" dataDxfId="200"/>
    <tableColumn id="5" xr3:uid="{B0DC3548-A9AA-420A-8564-5F10AFE241CF}" name="Type" dataDxfId="199">
      <calculatedColumnFormula>_xlfn.XLOOKUP(operations[[#This Row],[Category]],categories[Category],categories[Type],"",0,1)</calculatedColumnFormula>
    </tableColumn>
    <tableColumn id="6" xr3:uid="{2C72B247-1CFD-44D6-BDA9-F9D0BB401FA1}" name="Date" dataDxfId="198"/>
    <tableColumn id="7" xr3:uid="{4E65CCC6-D609-484D-A68A-DC8E888AFEE9}" name="Month" dataDxfId="197">
      <calculatedColumnFormula>MONTH(operations[[#This Row],[Date]])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categories" displayName="categories" ref="A1:B17" totalsRowShown="0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196"/>
    <tableColumn id="2" xr3:uid="{0EA9F851-FCD1-470B-9F83-640CF24D733D}" name="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EB315-109D-E041-9DC6-18E38FB09015}" name="products" displayName="products" ref="F1:G8" totalsRowShown="0" headerRowDxfId="195" dataDxfId="194">
  <autoFilter ref="F1:G8" xr:uid="{10FEB315-109D-E041-9DC6-18E38FB09015}"/>
  <sortState xmlns:xlrd2="http://schemas.microsoft.com/office/spreadsheetml/2017/richdata2" ref="F2:G8">
    <sortCondition ref="F2:F8"/>
    <sortCondition ref="G2:G8"/>
  </sortState>
  <tableColumns count="2">
    <tableColumn id="1" xr3:uid="{6A24EE09-3EA0-E040-8F11-8EF4D848D281}" name="Bank" dataDxfId="193"/>
    <tableColumn id="2" xr3:uid="{5DC547AF-683F-2849-9609-D29B1CCE96DA}" name="Product" dataDxfId="19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923BB-D770-4302-BE82-67FDC9D6A765}" name="flow_1" displayName="flow_1" ref="A1:E9" totalsRowCount="1">
  <autoFilter ref="A1:E8" xr:uid="{AF8923BB-D770-4302-BE82-67FDC9D6A765}"/>
  <tableColumns count="5">
    <tableColumn id="1" xr3:uid="{C9E2CC4E-57FF-4630-9582-1E087E5C4466}" name="Bank" totalsRowLabel="Total" dataDxfId="191" totalsRowDxfId="190"/>
    <tableColumn id="2" xr3:uid="{6E1D6D25-4A0D-436E-8908-DBC3677FD1D2}" name="Product" dataDxfId="189" totalsRowDxfId="188"/>
    <tableColumn id="3" xr3:uid="{258FA03B-01DE-46E8-9DEC-03C557F43DB9}" name="Opening balance" totalsRowFunction="sum" dataDxfId="187" totalsRowDxfId="186"/>
    <tableColumn id="4" xr3:uid="{C0B3033A-8F24-400D-BD06-12B6FEB21DBD}" name="Operations" totalsRowFunction="sum" dataDxfId="185" totalsRowDxfId="184">
      <calculatedColumnFormula>SUMIFS(operations[Amount],operations[Bank],flow_1[[#This Row],[Bank]],operations[Product],flow_1[[#This Row],[Product]],operations[Month],$B$11)</calculatedColumnFormula>
    </tableColumn>
    <tableColumn id="5" xr3:uid="{D4FE2BE5-BFFC-4644-B176-9E7E178D7245}" name="Closing balance" totalsRowFunction="sum" dataDxfId="183" totalsRowDxfId="182">
      <calculatedColumnFormula>flow_1[[#This Row],[Opening balance]]+flow_1[[#This Row],[Operations]]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2B59FF-2350-40C8-9B96-1709E1871F65}" name="incomes_1" displayName="incomes_1" ref="G1:H8" totalsRowCount="1">
  <autoFilter ref="G1:H7" xr:uid="{B52B59FF-2350-40C8-9B96-1709E1871F65}"/>
  <tableColumns count="2">
    <tableColumn id="1" xr3:uid="{909C6D44-A119-4778-BD42-209C6C2AD4EC}" name="Category" totalsRowLabel="Total"/>
    <tableColumn id="2" xr3:uid="{DA451E1F-9CCB-492E-85C5-9851EA76F3CF}" name="Total" totalsRowFunction="sum" dataDxfId="180" totalsRowDxfId="181">
      <calculatedColumnFormula>SUMIFS(operations[Amount],operations[Month],$B$11,operations[Category],incomes_1[[#This Row],[Category]])</calculatedColumn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FB335A-F4E0-4423-9F20-7590C620A67C}" name="expenses_1" displayName="expenses_1" ref="J1:K11" totalsRowCount="1">
  <autoFilter ref="J1:K10" xr:uid="{D6FB335A-F4E0-4423-9F20-7590C620A67C}"/>
  <tableColumns count="2">
    <tableColumn id="1" xr3:uid="{0227E8AE-86F8-4121-9C31-FCCF10576AFC}" name="Category" totalsRowLabel="Total"/>
    <tableColumn id="2" xr3:uid="{3272ABF1-D8D7-4181-AB72-A027E0D124B1}" name="Total" totalsRowFunction="sum" dataDxfId="178" totalsRowDxfId="179">
      <calculatedColumnFormula>SUMIFS(operations[Amount],operations[Month],$B$11,operations[Category],expenses_1[[#This Row],[Category]])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A692EA-E473-4C35-8FA8-3DDCF8A08520}" name="balance_1" displayName="balance_1" ref="A13:B17" totalsRowCount="1">
  <autoFilter ref="A13:B16" xr:uid="{89A692EA-E473-4C35-8FA8-3DDCF8A08520}"/>
  <tableColumns count="2">
    <tableColumn id="1" xr3:uid="{B5894B49-0447-49D5-A975-C56A1B0BDF04}" name="Type" totalsRowLabel="Total"/>
    <tableColumn id="2" xr3:uid="{C6A9B62A-B2BE-47CA-93D9-B9CB12AA9E53}" name="Total" totalsRowFunction="sum" dataDxfId="176" totalsRowDxfId="177">
      <calculatedColumnFormula>SUMIFS(operations[Amount],operations[Month],$B$11,operations[Type],balance_1[[#This Row],[Type]])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8D7E1B-EE91-49F8-A30B-0A56BA8D8E32}" name="flow_2" displayName="flow_2" ref="A1:E9" totalsRowCount="1">
  <autoFilter ref="A1:E8" xr:uid="{AF8923BB-D770-4302-BE82-67FDC9D6A765}"/>
  <tableColumns count="5">
    <tableColumn id="1" xr3:uid="{BE512E01-AA14-4789-A247-0CED24D6B6AB}" name="Bank" totalsRowLabel="Total" dataDxfId="175" totalsRowDxfId="164"/>
    <tableColumn id="2" xr3:uid="{A63187A5-ACB2-4B6E-AFD2-9E3CAF8A343E}" name="Product" dataDxfId="174" totalsRowDxfId="163"/>
    <tableColumn id="3" xr3:uid="{356AE2C5-2E26-40DC-A761-0EC7E54E7AAA}" name="Opening balance" totalsRowFunction="sum" dataDxfId="173" totalsRowDxfId="162"/>
    <tableColumn id="4" xr3:uid="{F2835588-295A-4343-A2CF-077860F32982}" name="Operations" totalsRowFunction="sum" dataDxfId="172" totalsRowDxfId="161">
      <calculatedColumnFormula>SUMIFS(operations[Amount],operations[Bank],flow_2[[#This Row],[Bank]],operations[Product],flow_2[[#This Row],[Product]],operations[Month],$B$11)</calculatedColumnFormula>
    </tableColumn>
    <tableColumn id="5" xr3:uid="{DCB4B629-A800-49A6-8C39-DDA095F2B2EB}" name="Closing balance" totalsRowFunction="sum" dataDxfId="171" totalsRowDxfId="160">
      <calculatedColumnFormula>flow_2[[#This Row],[Opening balance]]+flow_2[[#This Row],[Operations]]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20B48A-8677-428F-B2E6-833240186729}" name="incomes_2" displayName="incomes_2" ref="G1:H8" totalsRowCount="1">
  <autoFilter ref="G1:H7" xr:uid="{B52B59FF-2350-40C8-9B96-1709E1871F65}"/>
  <tableColumns count="2">
    <tableColumn id="1" xr3:uid="{1F79D825-1B96-43BB-A8B8-AFAFE2495C0D}" name="Category" totalsRowLabel="Total"/>
    <tableColumn id="2" xr3:uid="{25A9C85F-805F-4A78-9A14-B419646C701F}" name="Total" totalsRowFunction="sum" dataDxfId="169" totalsRowDxfId="170">
      <calculatedColumnFormula>SUMIFS(operations[Amount],operations[Month],$B$11,operations[Category],incomes_2[[#This Row],[Category]])</calculatedColumn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852451-EC32-4CDA-91C8-B475ACB78647}" name="expenses_2" displayName="expenses_2" ref="J1:K11" totalsRowCount="1">
  <autoFilter ref="J1:K10" xr:uid="{D6FB335A-F4E0-4423-9F20-7590C620A67C}"/>
  <tableColumns count="2">
    <tableColumn id="1" xr3:uid="{6B0A0B66-CCDF-4A87-A2DE-CC2154D76A37}" name="Category" totalsRowLabel="Total"/>
    <tableColumn id="2" xr3:uid="{B7FE68B8-91A5-4076-8790-A9BEFC38DDF9}" name="Total" totalsRowFunction="sum" dataDxfId="167" totalsRowDxfId="168">
      <calculatedColumnFormula>SUMIFS(operations[Amount],operations[Month],$B$11,operations[Category],expenses_2[[#This Row],[Category]])</calculatedColumnFormula>
    </tableColumn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7EC874-CB77-4078-9539-6E1BAFDEDCA6}" name="balance_2" displayName="balance_2" ref="A13:B17" totalsRowCount="1">
  <autoFilter ref="A13:B16" xr:uid="{89A692EA-E473-4C35-8FA8-3DDCF8A08520}"/>
  <tableColumns count="2">
    <tableColumn id="1" xr3:uid="{DDB9C769-54F2-446B-965D-6FFED09EDD47}" name="Type" totalsRowLabel="Total"/>
    <tableColumn id="2" xr3:uid="{A055267E-8528-4F27-BB80-C581D8A53503}" name="Total" totalsRowFunction="sum" dataDxfId="165" totalsRowDxfId="166">
      <calculatedColumnFormula>SUMIFS(operations[Amount],operations[Month],$B$11,operations[Type],balance_2[[#This Row],[Type]])</calculatedColumnFormula>
    </tableColumn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325B26E-32E0-4C44-8B6F-A1801C453153}" name="flow_3" displayName="flow_3" ref="A1:E9" totalsRowCount="1">
  <autoFilter ref="A1:E8" xr:uid="{AF8923BB-D770-4302-BE82-67FDC9D6A765}"/>
  <tableColumns count="5">
    <tableColumn id="1" xr3:uid="{2B7350A6-E196-43E4-82BC-78070000B81E}" name="Bank" totalsRowLabel="Total" dataDxfId="158" totalsRowDxfId="159"/>
    <tableColumn id="2" xr3:uid="{83853AC4-5938-41DE-8C78-1030C4F0E70B}" name="Product" dataDxfId="156" totalsRowDxfId="157"/>
    <tableColumn id="3" xr3:uid="{76C9719A-6AFD-436A-81E9-B63A7526785F}" name="Opening balance" totalsRowFunction="sum" dataDxfId="154" totalsRowDxfId="155"/>
    <tableColumn id="4" xr3:uid="{AA78CD09-596A-465A-BA30-7D33FEC5531F}" name="Operations" totalsRowFunction="sum" dataDxfId="152" totalsRowDxfId="153">
      <calculatedColumnFormula>SUMIFS(operations[Amount],operations[Bank],flow_3[[#This Row],[Bank]],operations[Product],flow_3[[#This Row],[Product]],operations[Month],$B$11)</calculatedColumnFormula>
    </tableColumn>
    <tableColumn id="5" xr3:uid="{198B23DD-1A07-4132-9E52-E0EFF8F0E28F}" name="Closing balance" totalsRowFunction="sum" dataDxfId="150" totalsRowDxfId="151">
      <calculatedColumnFormula>flow_3[[#This Row],[Opening balance]]+flow_3[[#This Row],[Operations]]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D9E1152-4315-44BB-BB88-9995C12F6005}" name="incomes_3" displayName="incomes_3" ref="G1:H8" totalsRowCount="1">
  <autoFilter ref="G1:H7" xr:uid="{B52B59FF-2350-40C8-9B96-1709E1871F65}"/>
  <tableColumns count="2">
    <tableColumn id="1" xr3:uid="{FB13C42D-A518-4AC7-ADB5-F6475B2C8B99}" name="Category" totalsRowLabel="Total"/>
    <tableColumn id="2" xr3:uid="{F489ECE9-184D-4E40-879B-E9AC6FF20A5D}" name="Total" totalsRowFunction="sum" dataDxfId="148" totalsRowDxfId="149">
      <calculatedColumnFormula>SUMIFS(operations[Amount],operations[Month],$B$11,operations[Category],incomes_3[[#This Row],[Category]])</calculatedColumnFormula>
    </tableColumn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E853A6-D919-418F-B1DB-ED0959F2D3A3}" name="expenses_3" displayName="expenses_3" ref="J1:K11" totalsRowCount="1">
  <autoFilter ref="J1:K10" xr:uid="{D6FB335A-F4E0-4423-9F20-7590C620A67C}"/>
  <tableColumns count="2">
    <tableColumn id="1" xr3:uid="{EFC6029D-2D50-4726-90ED-4149FE445758}" name="Category" totalsRowLabel="Total"/>
    <tableColumn id="2" xr3:uid="{248D62C1-8FB0-4E7A-88DC-CFCF67AECB62}" name="Total" totalsRowFunction="sum" dataDxfId="146" totalsRowDxfId="147">
      <calculatedColumnFormula>SUMIFS(operations[Amount],operations[Month],$B$11,operations[Category],expenses_3[[#This Row],[Category]])</calculatedColumnFormula>
    </tableColumn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018596-7BBE-4664-9E74-970DCCAD695E}" name="balance_3" displayName="balance_3" ref="A13:B17" totalsRowCount="1">
  <autoFilter ref="A13:B16" xr:uid="{89A692EA-E473-4C35-8FA8-3DDCF8A08520}"/>
  <tableColumns count="2">
    <tableColumn id="1" xr3:uid="{009D8F49-C3A0-4997-ADF1-BB485B8F68E2}" name="Type" totalsRowLabel="Total"/>
    <tableColumn id="2" xr3:uid="{0C19D58D-963F-460E-AF8A-801CC103DADC}" name="Total" totalsRowFunction="sum" dataDxfId="144" totalsRowDxfId="145">
      <calculatedColumnFormula>SUMIFS(operations[Amount],operations[Month],$B$11,operations[Type],balance_3[[#This Row],[Type]])</calculatedColumnFormula>
    </tableColumn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7E3EE48-0A2E-4A78-8B7E-258783E606E0}" name="flow_4" displayName="flow_4" ref="A1:E9" totalsRowCount="1">
  <autoFilter ref="A1:E8" xr:uid="{AF8923BB-D770-4302-BE82-67FDC9D6A765}"/>
  <tableColumns count="5">
    <tableColumn id="1" xr3:uid="{F6EA8010-B733-4173-B010-78ACEFEE69C2}" name="Bank" totalsRowLabel="Total" dataDxfId="142" totalsRowDxfId="143"/>
    <tableColumn id="2" xr3:uid="{065F9E1A-3D38-49D5-A876-489202AD75A9}" name="Product" dataDxfId="140" totalsRowDxfId="141"/>
    <tableColumn id="3" xr3:uid="{B99AD742-C69E-4945-B201-4A8CDA70718B}" name="Opening balance" totalsRowFunction="sum" dataDxfId="138" totalsRowDxfId="139"/>
    <tableColumn id="4" xr3:uid="{020C2992-007D-4576-845F-6325A6BC993A}" name="Operations" totalsRowFunction="sum" dataDxfId="136" totalsRowDxfId="137">
      <calculatedColumnFormula>SUMIFS(operations[Amount],operations[Bank],flow_4[[#This Row],[Bank]],operations[Product],flow_4[[#This Row],[Product]],operations[Month],$B$11)</calculatedColumnFormula>
    </tableColumn>
    <tableColumn id="5" xr3:uid="{B047EE96-2096-494E-8826-65619DC4DBAA}" name="Closing balance" totalsRowFunction="sum" dataDxfId="134" totalsRowDxfId="135">
      <calculatedColumnFormula>flow_4[[#This Row],[Opening balance]]+flow_4[[#This Row],[Operations]]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CBFF36C-C039-4116-BEA5-79A367F0CD8B}" name="incomes_4" displayName="incomes_4" ref="G1:H8" totalsRowCount="1">
  <autoFilter ref="G1:H7" xr:uid="{B52B59FF-2350-40C8-9B96-1709E1871F65}"/>
  <tableColumns count="2">
    <tableColumn id="1" xr3:uid="{5CD8E665-3C6F-4F37-A4BF-B922FE98CFDB}" name="Category" totalsRowLabel="Total"/>
    <tableColumn id="2" xr3:uid="{1950539C-26CA-48E0-96E4-EAF71C91CCAD}" name="Total" totalsRowFunction="sum" dataDxfId="132" totalsRowDxfId="133">
      <calculatedColumnFormula>SUMIFS(operations[Amount],operations[Month],$B$11,operations[Category],incomes_4[[#This Row],[Category]])</calculatedColumnFormula>
    </tableColumn>
  </tableColumns>
  <tableStyleInfo name="TableStyleLight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4A4F5-B352-4011-982D-51E2D79FCE3A}" name="expenses_4" displayName="expenses_4" ref="J1:K11" totalsRowCount="1">
  <autoFilter ref="J1:K10" xr:uid="{D6FB335A-F4E0-4423-9F20-7590C620A67C}"/>
  <tableColumns count="2">
    <tableColumn id="1" xr3:uid="{6924D74B-7592-4555-BB71-223E3D209257}" name="Category" totalsRowLabel="Total"/>
    <tableColumn id="2" xr3:uid="{7BD7594D-AEB3-4A05-913D-10A1436D4475}" name="Total" totalsRowFunction="sum" dataDxfId="130" totalsRowDxfId="131">
      <calculatedColumnFormula>SUMIFS(operations[Amount],operations[Month],$B$11,operations[Category],expenses_4[[#This Row],[Category]])</calculatedColumnFormula>
    </tableColumn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946D006-74A6-4423-8482-21C65DA2D98F}" name="balance_4" displayName="balance_4" ref="A13:B17" totalsRowCount="1">
  <autoFilter ref="A13:B16" xr:uid="{89A692EA-E473-4C35-8FA8-3DDCF8A08520}"/>
  <tableColumns count="2">
    <tableColumn id="1" xr3:uid="{CF13981D-E595-4177-B9B3-874CD4AE599E}" name="Type" totalsRowLabel="Total"/>
    <tableColumn id="2" xr3:uid="{59677F80-8C30-4B4F-9E5C-991A23AE9A39}" name="Total" totalsRowFunction="sum" dataDxfId="128" totalsRowDxfId="129">
      <calculatedColumnFormula>SUMIFS(operations[Amount],operations[Month],$B$11,operations[Type],balance_4[[#This Row],[Type]])</calculatedColumnFormula>
    </tableColumn>
  </tableColumns>
  <tableStyleInfo name="TableStyleLight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55BD2CD-FFAF-46A7-A78E-F02D135206B7}" name="flow_5" displayName="flow_5" ref="A1:E9" totalsRowCount="1">
  <autoFilter ref="A1:E8" xr:uid="{AF8923BB-D770-4302-BE82-67FDC9D6A765}"/>
  <tableColumns count="5">
    <tableColumn id="1" xr3:uid="{994A2AEE-7F0E-4A2A-9243-749ADFB4CB4E}" name="Bank" totalsRowLabel="Total" dataDxfId="126" totalsRowDxfId="127"/>
    <tableColumn id="2" xr3:uid="{98BE5160-9444-4A2B-82DB-8B240215098B}" name="Product" dataDxfId="124" totalsRowDxfId="125"/>
    <tableColumn id="3" xr3:uid="{2B9333C9-F956-4FDD-A072-1F3F76193925}" name="Opening balance" totalsRowFunction="sum" dataDxfId="122" totalsRowDxfId="123"/>
    <tableColumn id="4" xr3:uid="{7723D7C3-DBA3-4D0B-8F87-37345B3348F9}" name="Operations" totalsRowFunction="sum" dataDxfId="120" totalsRowDxfId="121">
      <calculatedColumnFormula>SUMIFS(operations[Amount],operations[Bank],flow_5[[#This Row],[Bank]],operations[Product],flow_5[[#This Row],[Product]],operations[Month],$B$11)</calculatedColumnFormula>
    </tableColumn>
    <tableColumn id="5" xr3:uid="{01820E45-2778-489D-BE71-A78CFEAB047F}" name="Closing balance" totalsRowFunction="sum" dataDxfId="118" totalsRowDxfId="119">
      <calculatedColumnFormula>flow_5[[#This Row],[Opening balance]]+flow_5[[#This Row],[Operations]]</calculatedColumnFormula>
    </tableColumn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64E800-07E5-4EE1-B1FD-7D8C32D29ABE}" name="incomes_5" displayName="incomes_5" ref="G1:H8" totalsRowCount="1">
  <autoFilter ref="G1:H7" xr:uid="{B52B59FF-2350-40C8-9B96-1709E1871F65}"/>
  <tableColumns count="2">
    <tableColumn id="1" xr3:uid="{74D6E3D9-8756-4073-93E1-39AF294075E3}" name="Category" totalsRowLabel="Total"/>
    <tableColumn id="2" xr3:uid="{3B410DB2-17D0-4333-B6D8-307D9BD43C42}" name="Total" totalsRowFunction="sum" dataDxfId="116" totalsRowDxfId="117">
      <calculatedColumnFormula>SUMIFS(operations[Amount],operations[Month],$B$11,operations[Category],incomes_5[[#This Row],[Category]])</calculatedColumnFormula>
    </tableColumn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6F673EF-4AEC-4EBC-A711-16252BF4CD1C}" name="expenses_5" displayName="expenses_5" ref="J1:K11" totalsRowCount="1">
  <autoFilter ref="J1:K10" xr:uid="{D6FB335A-F4E0-4423-9F20-7590C620A67C}"/>
  <tableColumns count="2">
    <tableColumn id="1" xr3:uid="{66DDF44F-B718-4C2C-9E9D-7F8444BC1CA5}" name="Category" totalsRowLabel="Total"/>
    <tableColumn id="2" xr3:uid="{D4B9C24C-DC03-41D9-B781-2C62F64AF2FD}" name="Total" totalsRowFunction="sum" dataDxfId="114" totalsRowDxfId="115">
      <calculatedColumnFormula>SUMIFS(operations[Amount],operations[Month],$B$11,operations[Category],expenses_5[[#This Row],[Category]])</calculatedColumnFormula>
    </tableColumn>
  </tableColumns>
  <tableStyleInfo name="TableStyleLight1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0CCD69B-D7C8-44B4-8F91-BF8A97F9C6F7}" name="balance_5" displayName="balance_5" ref="A13:B17" totalsRowCount="1">
  <autoFilter ref="A13:B16" xr:uid="{89A692EA-E473-4C35-8FA8-3DDCF8A08520}"/>
  <tableColumns count="2">
    <tableColumn id="1" xr3:uid="{64149C7F-74C7-46EC-9953-E30769DFC9B5}" name="Type" totalsRowLabel="Total"/>
    <tableColumn id="2" xr3:uid="{8E2FE464-1A68-4F01-9006-83DC0930A80C}" name="Total" totalsRowFunction="sum" dataDxfId="112" totalsRowDxfId="113">
      <calculatedColumnFormula>SUMIFS(operations[Amount],operations[Month],$B$11,operations[Type],balance_5[[#This Row],[Type]])</calculatedColumnFormula>
    </tableColumn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E160591-C980-4878-88E2-45A8BD781E1F}" name="flow_6" displayName="flow_6" ref="A1:E9" totalsRowCount="1">
  <autoFilter ref="A1:E8" xr:uid="{AF8923BB-D770-4302-BE82-67FDC9D6A765}"/>
  <tableColumns count="5">
    <tableColumn id="1" xr3:uid="{0B1AB33E-A89C-4EED-9823-31367C366D19}" name="Bank" totalsRowLabel="Total" dataDxfId="110" totalsRowDxfId="111"/>
    <tableColumn id="2" xr3:uid="{96CA306A-F096-4CB4-87B8-4F0D61B62273}" name="Product" dataDxfId="108" totalsRowDxfId="109"/>
    <tableColumn id="3" xr3:uid="{97D1185B-B6CB-40F6-A7F5-3643286485DA}" name="Opening balance" totalsRowFunction="sum" dataDxfId="106" totalsRowDxfId="107"/>
    <tableColumn id="4" xr3:uid="{951AC7AA-BCA0-41E6-8400-EE2CD0FCBF38}" name="Operations" totalsRowFunction="sum" dataDxfId="104" totalsRowDxfId="105">
      <calculatedColumnFormula>SUMIFS(operations[Amount],operations[Bank],flow_6[[#This Row],[Bank]],operations[Product],flow_6[[#This Row],[Product]],operations[Month],$B$11)</calculatedColumnFormula>
    </tableColumn>
    <tableColumn id="5" xr3:uid="{1399476C-3B99-404C-A6BB-7B8AB849E07B}" name="Closing balance" totalsRowFunction="sum" dataDxfId="102" totalsRowDxfId="103">
      <calculatedColumnFormula>flow_6[[#This Row],[Opening balance]]+flow_6[[#This Row],[Operations]]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94D08E6-AAA3-4311-BD44-BE3D3CB2C167}" name="incomes_6" displayName="incomes_6" ref="G1:H8" totalsRowCount="1">
  <autoFilter ref="G1:H7" xr:uid="{B52B59FF-2350-40C8-9B96-1709E1871F65}"/>
  <tableColumns count="2">
    <tableColumn id="1" xr3:uid="{215A2009-CE69-4778-BF43-3A0D35E3B0EE}" name="Category" totalsRowLabel="Total"/>
    <tableColumn id="2" xr3:uid="{EEE4B84B-070D-4F1C-A898-55DA82CF5D2B}" name="Total" totalsRowFunction="sum" dataDxfId="100" totalsRowDxfId="101">
      <calculatedColumnFormula>SUMIFS(operations[Amount],operations[Month],$B$11,operations[Category],incomes_6[[#This Row],[Category]])</calculatedColumnFormula>
    </tableColumn>
  </tableColumns>
  <tableStyleInfo name="TableStyleLight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F123567-E922-4361-8694-2B5F29CF41A2}" name="expenses_6" displayName="expenses_6" ref="J1:K11" totalsRowCount="1">
  <autoFilter ref="J1:K10" xr:uid="{D6FB335A-F4E0-4423-9F20-7590C620A67C}"/>
  <tableColumns count="2">
    <tableColumn id="1" xr3:uid="{4BBAB731-E603-45F3-8A20-FC69E05A9CB3}" name="Category" totalsRowLabel="Total"/>
    <tableColumn id="2" xr3:uid="{A2904479-CBAA-4080-958E-5FC9161E9467}" name="Total" totalsRowFunction="sum" dataDxfId="98" totalsRowDxfId="99">
      <calculatedColumnFormula>SUMIFS(operations[Amount],operations[Month],$B$11,operations[Category],expenses_6[[#This Row],[Category]])</calculatedColumnFormula>
    </tableColumn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A8A45B4-03F9-40EA-8EEB-9DF1BEA1A1F5}" name="balance_6" displayName="balance_6" ref="A13:B17" totalsRowCount="1">
  <autoFilter ref="A13:B16" xr:uid="{89A692EA-E473-4C35-8FA8-3DDCF8A08520}"/>
  <tableColumns count="2">
    <tableColumn id="1" xr3:uid="{1737007D-D49D-43C0-B083-FA4458F522FC}" name="Type" totalsRowLabel="Total"/>
    <tableColumn id="2" xr3:uid="{2DA6A8C0-A222-4C80-87CF-CA3EDD885758}" name="Total" totalsRowFunction="sum" dataDxfId="96" totalsRowDxfId="97">
      <calculatedColumnFormula>SUMIFS(operations[Amount],operations[Month],$B$11,operations[Type],balance_6[[#This Row],[Type]])</calculatedColumnFormula>
    </tableColumn>
  </tableColumns>
  <tableStyleInfo name="TableStyleLight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8563E19-1B91-4CCF-A6E8-A559CC83EC64}" name="flow_7" displayName="flow_7" ref="A1:E9" totalsRowCount="1">
  <autoFilter ref="A1:E8" xr:uid="{AF8923BB-D770-4302-BE82-67FDC9D6A765}"/>
  <tableColumns count="5">
    <tableColumn id="1" xr3:uid="{C54164AD-BF87-4B1E-883C-2631FFAE575D}" name="Bank" totalsRowLabel="Total" dataDxfId="94" totalsRowDxfId="95"/>
    <tableColumn id="2" xr3:uid="{C142DB7B-4D1D-482D-9457-A36F37DA6CF8}" name="Product" dataDxfId="92" totalsRowDxfId="93"/>
    <tableColumn id="3" xr3:uid="{91DD433E-33AF-4091-AED2-CD63FABFA862}" name="Opening balance" totalsRowFunction="sum" dataDxfId="90" totalsRowDxfId="91"/>
    <tableColumn id="4" xr3:uid="{2A648564-DF4C-4DD0-BA36-9C49FF4C3EBE}" name="Operations" totalsRowFunction="sum" dataDxfId="88" totalsRowDxfId="89">
      <calculatedColumnFormula>SUMIFS(operations[Amount],operations[Bank],flow_7[[#This Row],[Bank]],operations[Product],flow_7[[#This Row],[Product]],operations[Month],$B$11)</calculatedColumnFormula>
    </tableColumn>
    <tableColumn id="5" xr3:uid="{A31EA902-5C7D-402F-9C8F-115C258CDC51}" name="Closing balance" totalsRowFunction="sum" dataDxfId="86" totalsRowDxfId="87">
      <calculatedColumnFormula>flow_7[[#This Row],[Opening balance]]+flow_7[[#This Row],[Operations]]</calculatedColumnFormula>
    </tableColumn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143F23D-AA53-439F-840C-DA4A8835F106}" name="incomes_7" displayName="incomes_7" ref="G1:H8" totalsRowCount="1">
  <autoFilter ref="G1:H7" xr:uid="{B52B59FF-2350-40C8-9B96-1709E1871F65}"/>
  <tableColumns count="2">
    <tableColumn id="1" xr3:uid="{711B5F8D-E956-4747-A826-B3FE27E8C15A}" name="Category" totalsRowLabel="Total"/>
    <tableColumn id="2" xr3:uid="{231D0C4A-D1DF-4656-8DEC-D4F3D9091544}" name="Total" totalsRowFunction="sum" dataDxfId="84" totalsRowDxfId="85">
      <calculatedColumnFormula>SUMIFS(operations[Amount],operations[Month],$B$11,operations[Category],incomes_7[[#This Row],[Category]])</calculatedColumnFormula>
    </tableColumn>
  </tableColumns>
  <tableStyleInfo name="TableStyleLight1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11B0B8B-D9E1-4AD5-B293-D4D18C770883}" name="expenses_7" displayName="expenses_7" ref="J1:K11" totalsRowCount="1">
  <autoFilter ref="J1:K10" xr:uid="{D6FB335A-F4E0-4423-9F20-7590C620A67C}"/>
  <tableColumns count="2">
    <tableColumn id="1" xr3:uid="{9049872E-A621-4AEF-A1F4-8D8350440CE3}" name="Category" totalsRowLabel="Total"/>
    <tableColumn id="2" xr3:uid="{90E0E0A7-E59C-4517-AB7A-D0CCAAB42EBC}" name="Total" totalsRowFunction="sum" dataDxfId="82" totalsRowDxfId="83">
      <calculatedColumnFormula>SUMIFS(operations[Amount],operations[Month],$B$11,operations[Category],expenses_7[[#This Row],[Category]])</calculatedColumnFormula>
    </tableColumn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842BCBF-E2E2-4EA8-A48F-EB5EC80296B6}" name="balance_7" displayName="balance_7" ref="A13:B17" totalsRowCount="1">
  <autoFilter ref="A13:B16" xr:uid="{89A692EA-E473-4C35-8FA8-3DDCF8A08520}"/>
  <tableColumns count="2">
    <tableColumn id="1" xr3:uid="{2B54707D-5999-45DC-A4DE-67FB6A6EAAEC}" name="Type" totalsRowLabel="Total"/>
    <tableColumn id="2" xr3:uid="{34210AC0-2C02-4271-A8E5-7939A12A0A99}" name="Total" totalsRowFunction="sum" dataDxfId="80" totalsRowDxfId="81">
      <calculatedColumnFormula>SUMIFS(operations[Amount],operations[Month],$B$11,operations[Type],balance_7[[#This Row],[Type]])</calculatedColumnFormula>
    </tableColumn>
  </tableColumns>
  <tableStyleInfo name="TableStyleLight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6E92DE2-2B22-435E-B436-A72AB9FCDAA1}" name="flow_8" displayName="flow_8" ref="A1:E9" totalsRowCount="1">
  <autoFilter ref="A1:E8" xr:uid="{AF8923BB-D770-4302-BE82-67FDC9D6A765}"/>
  <tableColumns count="5">
    <tableColumn id="1" xr3:uid="{1F4590B6-CF91-48D0-864A-FA6414C17251}" name="Bank" totalsRowLabel="Total" dataDxfId="78" totalsRowDxfId="79"/>
    <tableColumn id="2" xr3:uid="{55C5FC7E-7F9E-4230-AC23-A5D32AE5BAFF}" name="Product" dataDxfId="76" totalsRowDxfId="77"/>
    <tableColumn id="3" xr3:uid="{194B4411-6340-4AE8-B1B0-43D536E14BB8}" name="Opening balance" totalsRowFunction="sum" dataDxfId="74" totalsRowDxfId="75"/>
    <tableColumn id="4" xr3:uid="{B1C1618A-5399-4932-A247-A36BB8C5765E}" name="Operations" totalsRowFunction="sum" dataDxfId="72" totalsRowDxfId="73">
      <calculatedColumnFormula>SUMIFS(operations[Amount],operations[Bank],flow_8[[#This Row],[Bank]],operations[Product],flow_8[[#This Row],[Product]],operations[Month],$B$11)</calculatedColumnFormula>
    </tableColumn>
    <tableColumn id="5" xr3:uid="{4CAA57C3-DEFA-4557-8D43-4C412E6CB8DA}" name="Closing balance" totalsRowFunction="sum" dataDxfId="70" totalsRowDxfId="71">
      <calculatedColumnFormula>flow_8[[#This Row],[Opening balance]]+flow_8[[#This Row],[Operations]]</calculatedColumnFormula>
    </tableColumn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8265D52-3CBF-46B8-BB18-C272F6ADEBBC}" name="incomes_8" displayName="incomes_8" ref="G1:H8" totalsRowCount="1">
  <autoFilter ref="G1:H7" xr:uid="{B52B59FF-2350-40C8-9B96-1709E1871F65}"/>
  <tableColumns count="2">
    <tableColumn id="1" xr3:uid="{D3611C34-B4A2-4A7F-A89F-8B6A1F3E3688}" name="Category" totalsRowLabel="Total"/>
    <tableColumn id="2" xr3:uid="{C6ED3B15-01DB-4923-8335-A927DA0C8A7C}" name="Total" totalsRowFunction="sum" dataDxfId="68" totalsRowDxfId="69">
      <calculatedColumnFormula>SUMIFS(operations[Amount],operations[Month],$B$11,operations[Category],incomes_8[[#This Row],[Category]])</calculatedColumnFormula>
    </tableColumn>
  </tableColumns>
  <tableStyleInfo name="TableStyleLight1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926B16F-7D1F-47E8-8601-595184124C4C}" name="expenses_9" displayName="expenses_9" ref="J1:K11" totalsRowCount="1">
  <autoFilter ref="J1:K10" xr:uid="{D6FB335A-F4E0-4423-9F20-7590C620A67C}"/>
  <tableColumns count="2">
    <tableColumn id="1" xr3:uid="{477C2068-CAB1-4BFE-8728-7969EAEEBFAD}" name="Category" totalsRowLabel="Total"/>
    <tableColumn id="2" xr3:uid="{92DA2C11-B146-4AF4-BE55-A3D196FA24CF}" name="Total" totalsRowFunction="sum" dataDxfId="66" totalsRowDxfId="67">
      <calculatedColumnFormula>SUMIFS(operations[Amount],operations[Month],$B$11,operations[Category],expenses_9[[#This Row],[Category]])</calculatedColumnFormula>
    </tableColumn>
  </tableColumns>
  <tableStyleInfo name="TableStyleLight1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74FC67C-B757-4D92-AACA-5341DCDACB63}" name="balance_8" displayName="balance_8" ref="A13:B17" totalsRowCount="1">
  <autoFilter ref="A13:B16" xr:uid="{89A692EA-E473-4C35-8FA8-3DDCF8A08520}"/>
  <tableColumns count="2">
    <tableColumn id="1" xr3:uid="{4972CB5A-C147-4EC3-9ED6-D6D8B9F420F2}" name="Type" totalsRowLabel="Total"/>
    <tableColumn id="2" xr3:uid="{CD93A6DF-B727-44B0-A445-AC5C1B654B7F}" name="Total" totalsRowFunction="sum" dataDxfId="64" totalsRowDxfId="65">
      <calculatedColumnFormula>SUMIFS(operations[Amount],operations[Month],$B$11,operations[Type],balance_8[[#This Row],[Type]])</calculatedColumnFormula>
    </tableColumn>
  </tableColumns>
  <tableStyleInfo name="TableStyleLight1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D752BAC-F8F0-4B96-A013-3B15D9C6B488}" name="flow_9" displayName="flow_9" ref="A1:E9" totalsRowCount="1">
  <autoFilter ref="A1:E8" xr:uid="{AF8923BB-D770-4302-BE82-67FDC9D6A765}"/>
  <tableColumns count="5">
    <tableColumn id="1" xr3:uid="{951A3EB8-367B-4F6F-ADB0-FC1E64625A9E}" name="Bank" totalsRowLabel="Total" dataDxfId="62" totalsRowDxfId="63"/>
    <tableColumn id="2" xr3:uid="{DF020E50-2D44-434E-84A1-16D656464DA8}" name="Product" dataDxfId="60" totalsRowDxfId="61"/>
    <tableColumn id="3" xr3:uid="{B8637584-EC1D-4D5B-9A78-1EF200206923}" name="Opening balance" totalsRowFunction="sum" dataDxfId="58" totalsRowDxfId="59"/>
    <tableColumn id="4" xr3:uid="{075CEC14-CCAA-466B-B44D-6A56ADA6E9CF}" name="Operations" totalsRowFunction="sum" dataDxfId="56" totalsRowDxfId="57">
      <calculatedColumnFormula>SUMIFS(operations[Amount],operations[Bank],flow_9[[#This Row],[Bank]],operations[Product],flow_9[[#This Row],[Product]],operations[Month],$B$11)</calculatedColumnFormula>
    </tableColumn>
    <tableColumn id="5" xr3:uid="{86B94DCE-89D6-41E0-A4D1-AD308444E64D}" name="Closing balance" totalsRowFunction="sum" dataDxfId="54" totalsRowDxfId="55">
      <calculatedColumnFormula>flow_9[[#This Row],[Opening balance]]+flow_9[[#This Row],[Operations]]</calculatedColumnFormula>
    </tableColumn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044CF22-2704-4BF5-9514-1EBDEDCA445E}" name="incomes_9" displayName="incomes_9" ref="G1:H8" totalsRowCount="1">
  <autoFilter ref="G1:H7" xr:uid="{B52B59FF-2350-40C8-9B96-1709E1871F65}"/>
  <tableColumns count="2">
    <tableColumn id="1" xr3:uid="{A4D92743-8192-456B-A868-E8A62886D910}" name="Category" totalsRowLabel="Total"/>
    <tableColumn id="2" xr3:uid="{A25CD62A-3A18-409B-8282-DC37E643937E}" name="Total" totalsRowFunction="sum" dataDxfId="52" totalsRowDxfId="53">
      <calculatedColumnFormula>SUMIFS(operations[Amount],operations[Month],$B$11,operations[Category],incomes_9[[#This Row],[Category]])</calculatedColumnFormula>
    </tableColumn>
  </tableColumns>
  <tableStyleInfo name="TableStyleLight1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65BB05C-BE4B-4BB6-86F9-FAE2C5DF3B0A}" name="expenses_8" displayName="expenses_8" ref="J1:K11" totalsRowCount="1">
  <autoFilter ref="J1:K10" xr:uid="{D6FB335A-F4E0-4423-9F20-7590C620A67C}"/>
  <tableColumns count="2">
    <tableColumn id="1" xr3:uid="{05F6C191-2598-473B-8265-5BDA139E57AD}" name="Category" totalsRowLabel="Total"/>
    <tableColumn id="2" xr3:uid="{1F244D7D-DDE8-4AE3-8AB6-56F5AB7AEF50}" name="Total" totalsRowFunction="sum" dataDxfId="50" totalsRowDxfId="51">
      <calculatedColumnFormula>SUMIFS(operations[Amount],operations[Month],$B$11,operations[Category],expenses_8[[#This Row],[Category]])</calculatedColumnFormula>
    </tableColumn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6A200E5-88A1-45A1-9780-471FC7BA4E9F}" name="balance_9" displayName="balance_9" ref="A13:B17" totalsRowCount="1">
  <autoFilter ref="A13:B16" xr:uid="{89A692EA-E473-4C35-8FA8-3DDCF8A08520}"/>
  <tableColumns count="2">
    <tableColumn id="1" xr3:uid="{835DAB2A-3629-4F4C-A3F0-A085EB2A6EF5}" name="Type" totalsRowLabel="Total"/>
    <tableColumn id="2" xr3:uid="{65338850-D346-427B-B316-91822A89206E}" name="Total" totalsRowFunction="sum" dataDxfId="48" totalsRowDxfId="49">
      <calculatedColumnFormula>SUMIFS(operations[Amount],operations[Month],$B$11,operations[Type],balance_9[[#This Row],[Type]])</calculatedColumnFormula>
    </tableColumn>
  </tableColumns>
  <tableStyleInfo name="TableStyleLight1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69CC1B9-0286-4AD6-B7DD-957A8E27A4F9}" name="flow_10" displayName="flow_10" ref="A1:E9" totalsRowCount="1">
  <autoFilter ref="A1:E8" xr:uid="{AF8923BB-D770-4302-BE82-67FDC9D6A765}"/>
  <tableColumns count="5">
    <tableColumn id="1" xr3:uid="{B99C47A2-4C82-42AB-8A32-3996F382F970}" name="Bank" totalsRowLabel="Total" dataDxfId="46" totalsRowDxfId="47"/>
    <tableColumn id="2" xr3:uid="{BCF23728-AF1C-4FDF-8197-E5D7E0139DCA}" name="Product" dataDxfId="44" totalsRowDxfId="45"/>
    <tableColumn id="3" xr3:uid="{C3829D33-CD86-4870-83D4-A94E769E2BF7}" name="Opening balance" totalsRowFunction="sum" dataDxfId="42" totalsRowDxfId="43"/>
    <tableColumn id="4" xr3:uid="{FB47511A-5DF9-40F0-B9F1-9FC803B8C6B7}" name="Operations" totalsRowFunction="sum" dataDxfId="40" totalsRowDxfId="41">
      <calculatedColumnFormula>SUMIFS(operations[Amount],operations[Bank],flow_10[[#This Row],[Bank]],operations[Product],flow_10[[#This Row],[Product]],operations[Month],$B$11)</calculatedColumnFormula>
    </tableColumn>
    <tableColumn id="5" xr3:uid="{4260FE1D-B115-4276-B161-A8E8F0886DB5}" name="Closing balance" totalsRowFunction="sum" dataDxfId="38" totalsRowDxfId="39">
      <calculatedColumnFormula>flow_10[[#This Row],[Opening balance]]+flow_10[[#This Row],[Operations]]</calculatedColumnFormula>
    </tableColumn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A048950-7EFF-4D17-8B75-BFF62A4970C5}" name="incomes_10" displayName="incomes_10" ref="G1:H8" totalsRowCount="1">
  <autoFilter ref="G1:H7" xr:uid="{B52B59FF-2350-40C8-9B96-1709E1871F65}"/>
  <tableColumns count="2">
    <tableColumn id="1" xr3:uid="{1A540A0F-5355-492C-92C7-BA3BB63AD871}" name="Category" totalsRowLabel="Total"/>
    <tableColumn id="2" xr3:uid="{8858AAF3-37CB-4BF9-9AC9-F520BC1B7FA1}" name="Total" totalsRowFunction="sum" dataDxfId="36" totalsRowDxfId="37">
      <calculatedColumnFormula>SUMIFS(operations[Amount],operations[Month],$B$11,operations[Category],incomes_10[[#This Row],[Category]])</calculatedColumnFormula>
    </tableColumn>
  </tableColumns>
  <tableStyleInfo name="TableStyleLight1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6F11353-AB11-4087-B847-166BCF3F766D}" name="expenses_10" displayName="expenses_10" ref="J1:K11" totalsRowCount="1">
  <autoFilter ref="J1:K10" xr:uid="{D6FB335A-F4E0-4423-9F20-7590C620A67C}"/>
  <tableColumns count="2">
    <tableColumn id="1" xr3:uid="{3700D40B-88FD-4064-90C3-CA6B4D433A1A}" name="Category" totalsRowLabel="Total"/>
    <tableColumn id="2" xr3:uid="{3F58CD66-8B3B-4BE3-AC0B-F926B853A441}" name="Total" totalsRowFunction="sum" dataDxfId="34" totalsRowDxfId="35">
      <calculatedColumnFormula>SUMIFS(operations[Amount],operations[Month],$B$11,operations[Category],expenses_10[[#This Row],[Category]])</calculatedColumnFormula>
    </tableColumn>
  </tableColumns>
  <tableStyleInfo name="TableStyleLight1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4FD78D3-EA3C-41CB-96E5-AD310C08C1DD}" name="balance_10" displayName="balance_10" ref="A13:B17" totalsRowCount="1">
  <autoFilter ref="A13:B16" xr:uid="{89A692EA-E473-4C35-8FA8-3DDCF8A08520}"/>
  <tableColumns count="2">
    <tableColumn id="1" xr3:uid="{791847FE-C47A-4CB4-B8C5-A0DCF28C985F}" name="Type" totalsRowLabel="Total"/>
    <tableColumn id="2" xr3:uid="{789B8E12-B9C9-41D6-9176-D6E5B2654178}" name="Total" totalsRowFunction="sum" dataDxfId="32" totalsRowDxfId="33">
      <calculatedColumnFormula>SUMIFS(operations[Amount],operations[Month],$B$11,operations[Type],balance_10[[#This Row],[Type]])</calculatedColumnFormula>
    </tableColumn>
  </tableColumns>
  <tableStyleInfo name="TableStyleLight1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7307E56-0108-4ECC-97DE-50C7FEBC5DB6}" name="flow_11" displayName="flow_11" ref="A1:E9" totalsRowCount="1">
  <autoFilter ref="A1:E8" xr:uid="{AF8923BB-D770-4302-BE82-67FDC9D6A765}"/>
  <tableColumns count="5">
    <tableColumn id="1" xr3:uid="{983FD83C-7085-446F-B910-BD40B445D279}" name="Bank" totalsRowLabel="Total" dataDxfId="30" totalsRowDxfId="31"/>
    <tableColumn id="2" xr3:uid="{57CAEECF-AA53-456E-A309-F316387CE3B2}" name="Product" dataDxfId="28" totalsRowDxfId="29"/>
    <tableColumn id="3" xr3:uid="{6C7EDE7E-7EA6-4C72-A784-3235451A2710}" name="Opening balance" totalsRowFunction="sum" dataDxfId="26" totalsRowDxfId="27"/>
    <tableColumn id="4" xr3:uid="{AC40DBC2-3427-4386-BFDA-917A051FC018}" name="Operations" totalsRowFunction="sum" dataDxfId="24" totalsRowDxfId="25">
      <calculatedColumnFormula>SUMIFS(operations[Amount],operations[Bank],flow_11[[#This Row],[Bank]],operations[Product],flow_11[[#This Row],[Product]],operations[Month],$B$11)</calculatedColumnFormula>
    </tableColumn>
    <tableColumn id="5" xr3:uid="{DD8D5AD9-B27B-4DB3-9A96-6C16DF6730C7}" name="Closing balance" totalsRowFunction="sum" dataDxfId="22" totalsRowDxfId="23">
      <calculatedColumnFormula>flow_11[[#This Row],[Opening balance]]+flow_11[[#This Row],[Operations]]</calculatedColumnFormula>
    </tableColumn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4588717-6CD4-4EC8-9FA9-9D974297BB9D}" name="incomes_11" displayName="incomes_11" ref="G1:H8" totalsRowCount="1">
  <autoFilter ref="G1:H7" xr:uid="{B52B59FF-2350-40C8-9B96-1709E1871F65}"/>
  <tableColumns count="2">
    <tableColumn id="1" xr3:uid="{FCAF023C-8EC4-42A4-A154-A07046023053}" name="Category" totalsRowLabel="Total"/>
    <tableColumn id="2" xr3:uid="{A3DB2636-F266-4F22-8904-F8D54B40B1EF}" name="Total" totalsRowFunction="sum" dataDxfId="20" totalsRowDxfId="21">
      <calculatedColumnFormula>SUMIFS(operations[Amount],operations[Month],$B$11,operations[Category],incomes_11[[#This Row],[Category]])</calculatedColumnFormula>
    </tableColumn>
  </tableColumns>
  <tableStyleInfo name="TableStyleLight1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BE3C066-9589-4F2B-81F7-22AB03D7D08A}" name="expenses_11" displayName="expenses_11" ref="J1:K11" totalsRowCount="1">
  <autoFilter ref="J1:K10" xr:uid="{D6FB335A-F4E0-4423-9F20-7590C620A67C}"/>
  <tableColumns count="2">
    <tableColumn id="1" xr3:uid="{69282626-2FA5-4C7C-9719-E6BABCF9C8A9}" name="Category" totalsRowLabel="Total"/>
    <tableColumn id="2" xr3:uid="{5485326F-3A0F-47BA-97DC-41FA35C94F34}" name="Total" totalsRowFunction="sum" dataDxfId="18" totalsRowDxfId="19">
      <calculatedColumnFormula>SUMIFS(operations[Amount],operations[Month],$B$11,operations[Category],expenses_11[[#This Row],[Category]])</calculatedColumnFormula>
    </tableColumn>
  </tableColumns>
  <tableStyleInfo name="TableStyleLight1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358F90D-A768-4FB5-B3D4-EC174E701FF7}" name="balance_11" displayName="balance_11" ref="A13:B17" totalsRowCount="1">
  <autoFilter ref="A13:B16" xr:uid="{89A692EA-E473-4C35-8FA8-3DDCF8A08520}"/>
  <tableColumns count="2">
    <tableColumn id="1" xr3:uid="{89CF4F39-0D8F-4E11-9CF7-139368C5CB6E}" name="Type" totalsRowLabel="Total"/>
    <tableColumn id="2" xr3:uid="{8FF545FE-4BF8-4D60-B03D-BD79D481B4F0}" name="Total" totalsRowFunction="sum" dataDxfId="16" totalsRowDxfId="17">
      <calculatedColumnFormula>SUMIFS(operations[Amount],operations[Month],$B$11,operations[Type],balance_11[[#This Row],[Type]])</calculatedColumnFormula>
    </tableColumn>
  </tableColumns>
  <tableStyleInfo name="TableStyleLight1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BAC29A2-D469-4C1D-B062-400BB289B193}" name="flow_12" displayName="flow_12" ref="A1:E9" totalsRowCount="1">
  <autoFilter ref="A1:E8" xr:uid="{AF8923BB-D770-4302-BE82-67FDC9D6A765}"/>
  <tableColumns count="5">
    <tableColumn id="1" xr3:uid="{1A9A6F07-CA49-42F3-9A26-F71DD3170019}" name="Bank" totalsRowLabel="Total" dataDxfId="14" totalsRowDxfId="15"/>
    <tableColumn id="2" xr3:uid="{8DF544C9-9723-40D6-BC95-95A010CC2409}" name="Product" dataDxfId="12" totalsRowDxfId="13"/>
    <tableColumn id="3" xr3:uid="{B8E8614F-88C2-4031-8DC9-5E2CCABA1869}" name="Opening balance" totalsRowFunction="sum" dataDxfId="10" totalsRowDxfId="11"/>
    <tableColumn id="4" xr3:uid="{5F19C5B6-EB15-44CC-8D90-FBE9F2B679E4}" name="Operations" totalsRowFunction="sum" dataDxfId="8" totalsRowDxfId="9">
      <calculatedColumnFormula>SUMIFS(operations[Amount],operations[Bank],flow_12[[#This Row],[Bank]],operations[Product],flow_12[[#This Row],[Product]],operations[Month],$B$11)</calculatedColumnFormula>
    </tableColumn>
    <tableColumn id="5" xr3:uid="{0C926AB0-E440-41C0-A6F6-66FC9BE7F5F2}" name="Closing balance" totalsRowFunction="sum" dataDxfId="6" totalsRowDxfId="7">
      <calculatedColumnFormula>flow_12[[#This Row],[Opening balance]]+flow_12[[#This Row],[Operations]]</calculatedColumnFormula>
    </tableColumn>
  </tableColumns>
  <tableStyleInfo name="TableStyleLight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C0B2AC8-DE1B-4F4C-9CB4-BD056D578BA2}" name="incomes_12" displayName="incomes_12" ref="G1:H8" totalsRowCount="1">
  <autoFilter ref="G1:H7" xr:uid="{B52B59FF-2350-40C8-9B96-1709E1871F65}"/>
  <tableColumns count="2">
    <tableColumn id="1" xr3:uid="{62C6FCA9-E007-499A-825A-BFEDABE4DFC4}" name="Category" totalsRowLabel="Total"/>
    <tableColumn id="2" xr3:uid="{CB6ACF38-758C-4D75-90C5-4313D0BE8196}" name="Total" totalsRowFunction="sum" dataDxfId="4" totalsRowDxfId="5">
      <calculatedColumnFormula>SUMIFS(operations[Amount],operations[Month],$B$11,operations[Category],incomes_12[[#This Row],[Category]])</calculatedColumnFormula>
    </tableColumn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59FFDD9-AEBE-4E3B-8426-C4D5953B9ADA}" name="expenses_12" displayName="expenses_12" ref="J1:K11" totalsRowCount="1">
  <autoFilter ref="J1:K10" xr:uid="{D6FB335A-F4E0-4423-9F20-7590C620A67C}"/>
  <tableColumns count="2">
    <tableColumn id="1" xr3:uid="{6FDA2A8B-5B17-46FA-9455-0243766444D7}" name="Category" totalsRowLabel="Total"/>
    <tableColumn id="2" xr3:uid="{D730FA79-B1A3-4FF7-8784-25CB7DF95EAD}" name="Total" totalsRowFunction="sum" dataDxfId="2" totalsRowDxfId="3">
      <calculatedColumnFormula>SUMIFS(operations[Amount],operations[Month],$B$11,operations[Category],expenses_12[[#This Row],[Category]])</calculatedColumnFormula>
    </tableColumn>
  </tableColumns>
  <tableStyleInfo name="TableStyleLight1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846FF76-1726-4DB8-9C43-4A09CE8C0347}" name="balance_12" displayName="balance_12" ref="A13:B17" totalsRowCount="1">
  <autoFilter ref="A13:B16" xr:uid="{89A692EA-E473-4C35-8FA8-3DDCF8A08520}"/>
  <tableColumns count="2">
    <tableColumn id="1" xr3:uid="{9D04A813-D6AD-4119-A564-5CA1F9209F20}" name="Type" totalsRowLabel="Total"/>
    <tableColumn id="2" xr3:uid="{70462563-DD1F-4832-A1A0-EC5106B5937F}" name="Total" totalsRowFunction="sum" dataDxfId="0" totalsRowDxfId="1">
      <calculatedColumnFormula>SUMIFS(operations[Amount],operations[Month],$B$11,operations[Type],balance_12[[#This Row],[Type]])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4" Type="http://schemas.openxmlformats.org/officeDocument/2006/relationships/table" Target="../tables/table2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4" Type="http://schemas.openxmlformats.org/officeDocument/2006/relationships/table" Target="../tables/table2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Relationship Id="rId4" Type="http://schemas.openxmlformats.org/officeDocument/2006/relationships/table" Target="../tables/table3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Relationship Id="rId4" Type="http://schemas.openxmlformats.org/officeDocument/2006/relationships/table" Target="../tables/table3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4" Type="http://schemas.openxmlformats.org/officeDocument/2006/relationships/table" Target="../tables/table3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Relationship Id="rId4" Type="http://schemas.openxmlformats.org/officeDocument/2006/relationships/table" Target="../tables/table4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Relationship Id="rId4" Type="http://schemas.openxmlformats.org/officeDocument/2006/relationships/table" Target="../tables/table4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4" Type="http://schemas.openxmlformats.org/officeDocument/2006/relationships/table" Target="../tables/table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zoomScale="108" workbookViewId="0">
      <selection activeCell="N14" sqref="N14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2.7109375" customWidth="1"/>
    <col min="6" max="6" width="11.710937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Row],[Category]],categories[Category],categories[Type],"",0,1)</f>
        <v>Transfert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Row],[Category]],categories[Category],categories[Type],"",0,1)</f>
        <v>Transfert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Row],[Category]],categories[Category],categories[Type],"",0,1)</f>
        <v>Transfert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Row],[Category]],categories[Category],categories[Type],"",0,1)</f>
        <v>Transfert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Row],[Category]],categories[Category],categories[Type],"",0,1)</f>
        <v>Transfert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Row],[Category]],categories[Category],categories[Type],"",0,1)</f>
        <v>Transfert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Row],[Category]],categories[Category],categories[Type],"",0,1)</f>
        <v>Transfert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Row],[Category]],categories[Category],categories[Type],"",0,1)</f>
        <v>Transfert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Row],[Category]],categories[Category],categories[Type],"",0,1)</f>
        <v>Transfert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Row],[Category]],categories[Category],categories[Type],"",0,1)</f>
        <v>Transfert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Row],[Category]],categories[Category],categories[Type],"",0,1)</f>
        <v>Transfert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Row],[Category]],categories[Category],categories[Type],"",0,1)</f>
        <v>Transfert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Row],[Category]],categories[Category],categories[Type],"",0,1)</f>
        <v>Transfert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Row],[Category]],categories[Category],categories[Type],"",0,1)</f>
        <v>Transfert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Row],[Category]],categories[Category],categories[Type],"",0,1)</f>
        <v>Transfert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Row],[Category]],categories[Category],categories[Type],"",0,1)</f>
        <v>Transfert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Row],[Category]],categories[Category],categories[Type],"",0,1)</f>
        <v>Transfert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Row],[Category]],categories[Category],categories[Type],"",0,1)</f>
        <v>Transfert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Row],[Category]],categories[Category],categories[Type],"",0,1)</f>
        <v>Transfert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5E59C-993F-804D-8C57-8E4EE929F149}">
          <x14:formula1>
            <xm:f>_xlfn._TRO_LEADING(Dicionary!$A$2:$A$22)</xm:f>
          </x14:formula1>
          <xm:sqref>D2:D1048576</xm:sqref>
        </x14:dataValidation>
        <x14:dataValidation type="list" allowBlank="1" showInputMessage="1" showErrorMessage="1" xr:uid="{1AA4003D-4012-DC43-AE9B-D5D8326BD028}">
          <x14:formula1>
            <xm:f>Dicionary!$I$1:$K$1</xm:f>
          </x14:formula1>
          <xm:sqref>B2:B1048576</xm:sqref>
        </x14:dataValidation>
        <x14:dataValidation type="list" allowBlank="1" showInputMessage="1" showErrorMessage="1" xr:uid="{F63B9879-6BC3-8741-926A-51C97D860905}">
          <x14:formula1>
            <xm:f>CHOOSE(MATCH(B2,Dicionary!$I$1:$K$1,0),_xlfn._TRO_TRAILING(Dicionary!$I$2:$I$8),_xlfn._TRO_TRAILING(Dicionary!$J$2:$J$8),_xlfn._TRO_TRAILING(Dicionary!$K$2:$K$8))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K17"/>
  <sheetViews>
    <sheetView zoomScaleNormal="100" workbookViewId="0">
      <selection activeCell="B1" sqref="B1:B17"/>
    </sheetView>
  </sheetViews>
  <sheetFormatPr defaultColWidth="8.85546875" defaultRowHeight="15" x14ac:dyDescent="0.25"/>
  <cols>
    <col min="1" max="1" width="16" bestFit="1" customWidth="1"/>
    <col min="4" max="4" width="11" customWidth="1"/>
    <col min="6" max="6" width="10.7109375" bestFit="1" customWidth="1"/>
    <col min="7" max="7" width="18.42578125" bestFit="1" customWidth="1"/>
    <col min="9" max="9" width="13.140625" bestFit="1" customWidth="1"/>
    <col min="10" max="10" width="18.7109375" customWidth="1"/>
  </cols>
  <sheetData>
    <row r="1" spans="1:11" x14ac:dyDescent="0.25">
      <c r="A1" s="1" t="s">
        <v>3</v>
      </c>
      <c r="B1" t="s">
        <v>4</v>
      </c>
      <c r="F1" s="1" t="s">
        <v>0</v>
      </c>
      <c r="G1" s="1" t="s">
        <v>2</v>
      </c>
      <c r="I1" s="4" t="s">
        <v>11</v>
      </c>
      <c r="J1" s="4" t="s">
        <v>7</v>
      </c>
      <c r="K1" s="4" t="s">
        <v>13</v>
      </c>
    </row>
    <row r="2" spans="1:11" x14ac:dyDescent="0.25">
      <c r="A2" s="1" t="s">
        <v>18</v>
      </c>
      <c r="B2" t="s">
        <v>32</v>
      </c>
      <c r="F2" s="1" t="s">
        <v>11</v>
      </c>
      <c r="G2" s="1" t="s">
        <v>8</v>
      </c>
      <c r="I2" s="4" t="s">
        <v>8</v>
      </c>
      <c r="J2" s="4" t="s">
        <v>8</v>
      </c>
      <c r="K2" s="4" t="s">
        <v>15</v>
      </c>
    </row>
    <row r="3" spans="1:11" x14ac:dyDescent="0.25">
      <c r="A3" s="1" t="s">
        <v>22</v>
      </c>
      <c r="B3" t="s">
        <v>32</v>
      </c>
      <c r="F3" s="1" t="s">
        <v>11</v>
      </c>
      <c r="G3" s="1" t="s">
        <v>12</v>
      </c>
      <c r="I3" s="4" t="s">
        <v>12</v>
      </c>
      <c r="J3" s="4" t="s">
        <v>9</v>
      </c>
      <c r="K3" s="4" t="s">
        <v>14</v>
      </c>
    </row>
    <row r="4" spans="1:11" x14ac:dyDescent="0.25">
      <c r="A4" s="1" t="s">
        <v>20</v>
      </c>
      <c r="B4" t="s">
        <v>32</v>
      </c>
      <c r="F4" s="1" t="s">
        <v>7</v>
      </c>
      <c r="G4" s="1" t="s">
        <v>8</v>
      </c>
      <c r="I4" s="5"/>
      <c r="J4" s="4" t="s">
        <v>10</v>
      </c>
      <c r="K4" s="5"/>
    </row>
    <row r="5" spans="1:11" x14ac:dyDescent="0.25">
      <c r="A5" s="1" t="s">
        <v>17</v>
      </c>
      <c r="B5" t="s">
        <v>32</v>
      </c>
      <c r="F5" s="1" t="s">
        <v>7</v>
      </c>
      <c r="G5" s="1" t="s">
        <v>9</v>
      </c>
      <c r="I5" s="5"/>
      <c r="J5" s="5"/>
      <c r="K5" s="5"/>
    </row>
    <row r="6" spans="1:11" x14ac:dyDescent="0.25">
      <c r="A6" s="1" t="s">
        <v>21</v>
      </c>
      <c r="B6" t="s">
        <v>32</v>
      </c>
      <c r="F6" s="1" t="s">
        <v>7</v>
      </c>
      <c r="G6" s="1" t="s">
        <v>10</v>
      </c>
      <c r="I6" s="5"/>
      <c r="J6" s="5"/>
      <c r="K6" s="5"/>
    </row>
    <row r="7" spans="1:11" x14ac:dyDescent="0.25">
      <c r="A7" s="1" t="s">
        <v>19</v>
      </c>
      <c r="B7" t="s">
        <v>32</v>
      </c>
      <c r="F7" s="1" t="s">
        <v>13</v>
      </c>
      <c r="G7" s="1" t="s">
        <v>15</v>
      </c>
      <c r="I7" s="5"/>
      <c r="J7" s="5"/>
      <c r="K7" s="5"/>
    </row>
    <row r="8" spans="1:11" x14ac:dyDescent="0.25">
      <c r="A8" s="1" t="s">
        <v>24</v>
      </c>
      <c r="B8" t="s">
        <v>32</v>
      </c>
      <c r="F8" s="1" t="s">
        <v>13</v>
      </c>
      <c r="G8" s="1" t="s">
        <v>14</v>
      </c>
      <c r="I8" s="5"/>
      <c r="J8" s="5"/>
      <c r="K8" s="5"/>
    </row>
    <row r="9" spans="1:11" x14ac:dyDescent="0.25">
      <c r="A9" s="1" t="s">
        <v>23</v>
      </c>
      <c r="B9" t="s">
        <v>32</v>
      </c>
    </row>
    <row r="10" spans="1:11" x14ac:dyDescent="0.25">
      <c r="A10" s="1" t="s">
        <v>16</v>
      </c>
      <c r="B10" t="s">
        <v>32</v>
      </c>
    </row>
    <row r="11" spans="1:11" x14ac:dyDescent="0.25">
      <c r="A11" s="1" t="s">
        <v>25</v>
      </c>
      <c r="B11" t="s">
        <v>33</v>
      </c>
    </row>
    <row r="12" spans="1:11" x14ac:dyDescent="0.25">
      <c r="A12" s="1" t="s">
        <v>28</v>
      </c>
      <c r="B12" t="s">
        <v>33</v>
      </c>
    </row>
    <row r="13" spans="1:11" x14ac:dyDescent="0.25">
      <c r="A13" s="1" t="s">
        <v>29</v>
      </c>
      <c r="B13" t="s">
        <v>33</v>
      </c>
    </row>
    <row r="14" spans="1:11" x14ac:dyDescent="0.25">
      <c r="A14" s="1" t="s">
        <v>30</v>
      </c>
      <c r="B14" t="s">
        <v>33</v>
      </c>
    </row>
    <row r="15" spans="1:11" x14ac:dyDescent="0.25">
      <c r="A15" s="1" t="s">
        <v>26</v>
      </c>
      <c r="B15" t="s">
        <v>33</v>
      </c>
    </row>
    <row r="16" spans="1:11" x14ac:dyDescent="0.25">
      <c r="A16" s="1" t="s">
        <v>27</v>
      </c>
      <c r="B16" t="s">
        <v>33</v>
      </c>
    </row>
    <row r="17" spans="1:2" x14ac:dyDescent="0.25">
      <c r="A17" s="1" t="s">
        <v>31</v>
      </c>
      <c r="B17" t="s">
        <v>34</v>
      </c>
    </row>
  </sheetData>
  <dataValidations count="1">
    <dataValidation type="list" allowBlank="1" showInputMessage="1" showErrorMessage="1" sqref="B1:B1048576" xr:uid="{D5592ECE-06AF-41BF-B12A-A053D0FCCA0B}">
      <formula1>"Income,Transfert,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3A15-EC85-4A22-851D-913D7A05D630}">
  <dimension ref="A1:K17"/>
  <sheetViews>
    <sheetView workbookViewId="0">
      <selection activeCell="L24" sqref="L24"/>
    </sheetView>
  </sheetViews>
  <sheetFormatPr defaultRowHeight="15" x14ac:dyDescent="0.25"/>
  <cols>
    <col min="1" max="1" width="12" customWidth="1"/>
    <col min="2" max="2" width="20" customWidth="1"/>
    <col min="3" max="3" width="17.7109375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>
        <v>100</v>
      </c>
      <c r="D2" s="6">
        <f ca="1">SUMIFS(operations[Amount],operations[Bank],flow_1[[#This Row],[Bank]],operations[Product],flow_1[[#This Row],[Product]],operations[Month],$B$11)</f>
        <v>-35</v>
      </c>
      <c r="E2" s="6">
        <f ca="1">flow_1[[#This Row],[Opening balance]]+flow_1[[#This Row],[Operations]]</f>
        <v>65</v>
      </c>
      <c r="G2" t="s">
        <v>25</v>
      </c>
      <c r="H2" s="6">
        <f ca="1">SUMIFS(operations[Amount],operations[Month],$B$11,operations[Category],incomes_1[[#This Row],[Category]])</f>
        <v>250</v>
      </c>
      <c r="J2" t="s">
        <v>18</v>
      </c>
      <c r="K2" s="6">
        <f ca="1">SUMIFS(operations[Amount],operations[Month],$B$11,operations[Category],expenses_1[[#This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SUMIFS(operations[Amount],operations[Bank],flow_1[[#This Row],[Bank]],operations[Product],flow_1[[#This Row],[Product]],operations[Month],$B$11)</f>
        <v>255.5</v>
      </c>
      <c r="E3" s="6">
        <f ca="1">flow_1[[#This Row],[Opening balance]]+flow_1[[#This Row],[Operations]]</f>
        <v>266</v>
      </c>
      <c r="G3" t="s">
        <v>28</v>
      </c>
      <c r="H3" s="6">
        <f ca="1">SUMIFS(operations[Amount],operations[Month],$B$11,operations[Category],incomes_1[[#This Row],[Category]])</f>
        <v>105.5</v>
      </c>
      <c r="J3" t="s">
        <v>22</v>
      </c>
      <c r="K3" s="6">
        <f ca="1">SUMIFS(operations[Amount],operations[Month],$B$11,operations[Category],expenses_1[[#This Row],[Category]])</f>
        <v>-80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SUMIFS(operations[Amount],operations[Bank],flow_1[[#This Row],[Bank]],operations[Product],flow_1[[#This Row],[Product]],operations[Month],$B$11)</f>
        <v>1100</v>
      </c>
      <c r="E4" s="6">
        <f ca="1">flow_1[[#This Row],[Opening balance]]+flow_1[[#This Row],[Operations]]</f>
        <v>1700</v>
      </c>
      <c r="G4" t="s">
        <v>29</v>
      </c>
      <c r="H4" s="6">
        <f ca="1">SUMIFS(operations[Amount],operations[Month],$B$11,operations[Category],incomes_1[[#This Row],[Category]])</f>
        <v>0</v>
      </c>
      <c r="J4" t="s">
        <v>20</v>
      </c>
      <c r="K4" s="6">
        <f ca="1">SUMIFS(operations[Amount],operations[Month],$B$11,operations[Category],expenses_1[[#This Row],[Category]])</f>
        <v>-85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SUMIFS(operations[Amount],operations[Bank],flow_1[[#This Row],[Bank]],operations[Product],flow_1[[#This Row],[Product]],operations[Month],$B$11)</f>
        <v>-175</v>
      </c>
      <c r="E5" s="6">
        <f ca="1">flow_1[[#This Row],[Opening balance]]+flow_1[[#This Row],[Operations]]</f>
        <v>-175</v>
      </c>
      <c r="G5" t="s">
        <v>30</v>
      </c>
      <c r="H5" s="6">
        <f ca="1">SUMIFS(operations[Amount],operations[Month],$B$11,operations[Category],incomes_1[[#This Row],[Category]])</f>
        <v>800</v>
      </c>
      <c r="J5" t="s">
        <v>17</v>
      </c>
      <c r="K5" s="6">
        <f ca="1">SUMIFS(operations[Amount],operations[Month],$B$11,operations[Category],expenses_1[[#This Row],[Category]])</f>
        <v>-1715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SUMIFS(operations[Amount],operations[Bank],flow_1[[#This Row],[Bank]],operations[Product],flow_1[[#This Row],[Product]],operations[Month],$B$11)</f>
        <v>-400</v>
      </c>
      <c r="E6" s="6">
        <f ca="1">flow_1[[#This Row],[Opening balance]]+flow_1[[#This Row],[Operations]]</f>
        <v>1600</v>
      </c>
      <c r="G6" t="s">
        <v>26</v>
      </c>
      <c r="H6" s="6">
        <f ca="1">SUMIFS(operations[Amount],operations[Month],$B$11,operations[Category],incomes_1[[#This Row],[Category]])</f>
        <v>4500</v>
      </c>
      <c r="J6" t="s">
        <v>21</v>
      </c>
      <c r="K6" s="6">
        <f ca="1">SUMIFS(operations[Amount],operations[Month],$B$11,operations[Category],expenses_1[[#This Row],[Category]])</f>
        <v>-100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SUMIFS(operations[Amount],operations[Bank],flow_1[[#This Row],[Bank]],operations[Product],flow_1[[#This Row],[Product]],operations[Month],$B$11)</f>
        <v>-50</v>
      </c>
      <c r="E7" s="6">
        <f ca="1">flow_1[[#This Row],[Opening balance]]+flow_1[[#This Row],[Operations]]</f>
        <v>150</v>
      </c>
      <c r="G7" t="s">
        <v>27</v>
      </c>
      <c r="H7" s="6">
        <f ca="1">SUMIFS(operations[Amount],operations[Month],$B$11,operations[Category],incomes_1[[#This Row],[Category]])</f>
        <v>0</v>
      </c>
      <c r="J7" t="s">
        <v>19</v>
      </c>
      <c r="K7" s="6">
        <f ca="1">SUMIFS(operations[Amount],operations[Month],$B$11,operations[Category],expenses_1[[#This Row],[Category]])</f>
        <v>-150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SUMIFS(operations[Amount],operations[Bank],flow_1[[#This Row],[Bank]],operations[Product],flow_1[[#This Row],[Product]],operations[Month],$B$11)</f>
        <v>150</v>
      </c>
      <c r="E8" s="6">
        <f ca="1">flow_1[[#This Row],[Opening balance]]+flow_1[[#This Row],[Operations]]</f>
        <v>180</v>
      </c>
      <c r="G8" t="s">
        <v>38</v>
      </c>
      <c r="H8" s="6">
        <f ca="1">SUBTOTAL(109,incomes_1[Total])</f>
        <v>5655.5</v>
      </c>
      <c r="J8" t="s">
        <v>24</v>
      </c>
      <c r="K8" s="6">
        <f ca="1">SUMIFS(operations[Amount],operations[Month],$B$11,operations[Category],expenses_1[[#This Row],[Category]])</f>
        <v>-500</v>
      </c>
    </row>
    <row r="9" spans="1:11" x14ac:dyDescent="0.25">
      <c r="A9" s="1" t="s">
        <v>38</v>
      </c>
      <c r="B9" s="1"/>
      <c r="C9" s="6">
        <f>SUBTOTAL(109,flow_1[Opening balance])</f>
        <v>2940.5</v>
      </c>
      <c r="D9" s="6">
        <f ca="1">SUBTOTAL(109,flow_1[Operations])</f>
        <v>845.5</v>
      </c>
      <c r="E9" s="6">
        <f ca="1">SUBTOTAL(109,flow_1[Closing balance])</f>
        <v>3786</v>
      </c>
      <c r="J9" t="s">
        <v>23</v>
      </c>
      <c r="K9" s="6">
        <f ca="1">SUMIFS(operations[Amount],operations[Month],$B$11,operations[Category],expenses_1[[#This Row],[Category]])</f>
        <v>-100</v>
      </c>
    </row>
    <row r="10" spans="1:11" x14ac:dyDescent="0.25">
      <c r="J10" t="s">
        <v>16</v>
      </c>
      <c r="K10" s="6">
        <f ca="1">SUMIFS(operations[Amount],operations[Month],$B$11,operations[Category],expenses_1[[#This Row],[Category]])</f>
        <v>-80</v>
      </c>
    </row>
    <row r="11" spans="1:11" x14ac:dyDescent="0.25">
      <c r="A11" s="1" t="s">
        <v>6</v>
      </c>
      <c r="B11" t="str" cm="1">
        <f t="array" aca="1" ref="B11" ca="1">_xlfn.TEXTAFTER(CELL("filename",A1),"]")</f>
        <v>1</v>
      </c>
      <c r="J11" t="s">
        <v>38</v>
      </c>
      <c r="K11" s="6">
        <f ca="1">SUBTOTAL(109,expenses_1[Total])</f>
        <v>-4810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SUMIFS(operations[Amount],operations[Month],$B$11,operations[Type],balance_1[[#This Row],[Type]])</f>
        <v>-4810</v>
      </c>
    </row>
    <row r="15" spans="1:11" x14ac:dyDescent="0.25">
      <c r="A15" t="s">
        <v>33</v>
      </c>
      <c r="B15" s="6">
        <f ca="1">SUMIFS(operations[Amount],operations[Month],$B$11,operations[Type],balance_1[[#This Row],[Type]])</f>
        <v>5655.5</v>
      </c>
    </row>
    <row r="16" spans="1:11" x14ac:dyDescent="0.25">
      <c r="A16" t="s">
        <v>34</v>
      </c>
      <c r="B16" s="6">
        <f ca="1">SUMIFS(operations[Amount],operations[Month],$B$11,operations[Type],balance_1[[#This Row],[Type]])</f>
        <v>0</v>
      </c>
    </row>
    <row r="17" spans="1:2" x14ac:dyDescent="0.25">
      <c r="A17" t="s">
        <v>38</v>
      </c>
      <c r="B17" s="6">
        <f ca="1">SUBTOTAL(109,balance_1[Total])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80D3-9E30-4CE3-8449-716EC50B0EF6}">
  <dimension ref="A1:K17"/>
  <sheetViews>
    <sheetView tabSelected="1"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65</v>
      </c>
      <c r="D2" s="6">
        <f ca="1">SUMIFS(operations[Amount],operations[Bank],flow_2[[#This Row],[Bank]],operations[Product],flow_2[[#This Row],[Product]],operations[Month],$B$11)</f>
        <v>35</v>
      </c>
      <c r="E2" s="6">
        <f ca="1">flow_2[[#This Row],[Opening balance]]+flow_2[[#This Row],[Operations]]</f>
        <v>100</v>
      </c>
      <c r="G2" t="s">
        <v>25</v>
      </c>
      <c r="H2" s="6">
        <f ca="1">SUMIFS(operations[Amount],operations[Month],$B$11,operations[Category],incomes_2[[#This Row],[Category]])</f>
        <v>0</v>
      </c>
      <c r="J2" t="s">
        <v>18</v>
      </c>
      <c r="K2" s="6">
        <f ca="1">SUMIFS(operations[Amount],operations[Month],$B$11,operations[Category],expenses_2[[#This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SUMIFS(operations[Amount],operations[Bank],flow_2[[#This Row],[Bank]],operations[Product],flow_2[[#This Row],[Product]],operations[Month],$B$11)</f>
        <v>15</v>
      </c>
      <c r="E3" s="6">
        <f ca="1">flow_2[[#This Row],[Opening balance]]+flow_2[[#This Row],[Operations]]</f>
        <v>25.5</v>
      </c>
      <c r="G3" t="s">
        <v>28</v>
      </c>
      <c r="H3" s="6">
        <f ca="1">SUMIFS(operations[Amount],operations[Month],$B$11,operations[Category],incomes_2[[#This Row],[Category]])</f>
        <v>115</v>
      </c>
      <c r="J3" t="s">
        <v>22</v>
      </c>
      <c r="K3" s="6">
        <f ca="1">SUMIFS(operations[Amount],operations[Month],$B$11,operations[Category],expenses_2[[#This Row],[Category]])</f>
        <v>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SUMIFS(operations[Amount],operations[Bank],flow_2[[#This Row],[Bank]],operations[Product],flow_2[[#This Row],[Product]],operations[Month],$B$11)</f>
        <v>2039.5</v>
      </c>
      <c r="E4" s="6">
        <f ca="1">flow_2[[#This Row],[Opening balance]]+flow_2[[#This Row],[Operations]]</f>
        <v>2639.5</v>
      </c>
      <c r="G4" t="s">
        <v>29</v>
      </c>
      <c r="H4" s="6">
        <f ca="1">SUMIFS(operations[Amount],operations[Month],$B$11,operations[Category],incomes_2[[#This Row],[Category]])</f>
        <v>0</v>
      </c>
      <c r="J4" t="s">
        <v>20</v>
      </c>
      <c r="K4" s="6">
        <f ca="1">SUMIFS(operations[Amount],operations[Month],$B$11,operations[Category],expenses_2[[#This Row],[Category]])</f>
        <v>-350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SUMIFS(operations[Amount],operations[Bank],flow_2[[#This Row],[Bank]],operations[Product],flow_2[[#This Row],[Product]],operations[Month],$B$11)</f>
        <v>175</v>
      </c>
      <c r="E5" s="6">
        <f ca="1">flow_2[[#This Row],[Opening balance]]+flow_2[[#This Row],[Operations]]</f>
        <v>175</v>
      </c>
      <c r="G5" t="s">
        <v>30</v>
      </c>
      <c r="H5" s="6">
        <f ca="1">SUMIFS(operations[Amount],operations[Month],$B$11,operations[Category],incomes_2[[#This Row],[Category]])</f>
        <v>1950</v>
      </c>
      <c r="J5" t="s">
        <v>17</v>
      </c>
      <c r="K5" s="6">
        <f ca="1">SUMIFS(operations[Amount],operations[Month],$B$11,operations[Category],expenses_2[[#This Row],[Category]])</f>
        <v>-405.5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SUMIFS(operations[Amount],operations[Bank],flow_2[[#This Row],[Bank]],operations[Product],flow_2[[#This Row],[Product]],operations[Month],$B$11)</f>
        <v>-400</v>
      </c>
      <c r="E6" s="6">
        <f ca="1">flow_2[[#This Row],[Opening balance]]+flow_2[[#This Row],[Operations]]</f>
        <v>1600</v>
      </c>
      <c r="G6" t="s">
        <v>26</v>
      </c>
      <c r="H6" s="6">
        <f ca="1">SUMIFS(operations[Amount],operations[Month],$B$11,operations[Category],incomes_2[[#This Row],[Category]])</f>
        <v>4500</v>
      </c>
      <c r="J6" t="s">
        <v>21</v>
      </c>
      <c r="K6" s="6">
        <f ca="1">SUMIFS(operations[Amount],operations[Month],$B$11,operations[Category],expenses_2[[#This Row],[Category]])</f>
        <v>-250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SUMIFS(operations[Amount],operations[Bank],flow_2[[#This Row],[Bank]],operations[Product],flow_2[[#This Row],[Product]],operations[Month],$B$11)</f>
        <v>100</v>
      </c>
      <c r="E7" s="6">
        <f ca="1">flow_2[[#This Row],[Opening balance]]+flow_2[[#This Row],[Operations]]</f>
        <v>300</v>
      </c>
      <c r="G7" t="s">
        <v>27</v>
      </c>
      <c r="H7" s="6">
        <f ca="1">SUMIFS(operations[Amount],operations[Month],$B$11,operations[Category],incomes_2[[#This Row],[Category]])</f>
        <v>0</v>
      </c>
      <c r="J7" t="s">
        <v>19</v>
      </c>
      <c r="K7" s="6">
        <f ca="1">SUMIFS(operations[Amount],operations[Month],$B$11,operations[Category],expenses_2[[#This Row],[Category]])</f>
        <v>-150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SUMIFS(operations[Amount],operations[Bank],flow_2[[#This Row],[Bank]],operations[Product],flow_2[[#This Row],[Product]],operations[Month],$B$11)</f>
        <v>500</v>
      </c>
      <c r="E8" s="6">
        <f ca="1">flow_2[[#This Row],[Opening balance]]+flow_2[[#This Row],[Operations]]</f>
        <v>530</v>
      </c>
      <c r="G8" t="s">
        <v>38</v>
      </c>
      <c r="H8" s="6">
        <f ca="1">SUBTOTAL(109,incomes_2[Total])</f>
        <v>6565</v>
      </c>
      <c r="J8" t="s">
        <v>24</v>
      </c>
      <c r="K8" s="6">
        <f ca="1">SUMIFS(operations[Amount],operations[Month],$B$11,operations[Category],expenses_2[[#This Row],[Category]])</f>
        <v>-765</v>
      </c>
    </row>
    <row r="9" spans="1:11" x14ac:dyDescent="0.25">
      <c r="A9" s="1" t="s">
        <v>38</v>
      </c>
      <c r="B9" s="1"/>
      <c r="C9" s="6">
        <f ca="1">SUBTOTAL(109,flow_2[Opening balance])</f>
        <v>2905.5</v>
      </c>
      <c r="D9" s="6">
        <f ca="1">SUBTOTAL(109,flow_2[Operations])</f>
        <v>2464.5</v>
      </c>
      <c r="E9" s="6">
        <f ca="1">SUBTOTAL(109,flow_2[Closing balance])</f>
        <v>5370</v>
      </c>
      <c r="J9" t="s">
        <v>23</v>
      </c>
      <c r="K9" s="6">
        <f ca="1">SUMIFS(operations[Amount],operations[Month],$B$11,operations[Category],expenses_2[[#This Row],[Category]])</f>
        <v>-100</v>
      </c>
    </row>
    <row r="10" spans="1:11" x14ac:dyDescent="0.25">
      <c r="J10" t="s">
        <v>16</v>
      </c>
      <c r="K10" s="6">
        <f ca="1">SUMIFS(operations[Amount],operations[Month],$B$11,operations[Category],expenses_2[[#This Row],[Category]])</f>
        <v>-80</v>
      </c>
    </row>
    <row r="11" spans="1:11" x14ac:dyDescent="0.25">
      <c r="A11" s="1" t="s">
        <v>6</v>
      </c>
      <c r="B11" t="str" cm="1">
        <f t="array" aca="1" ref="B11" ca="1">_xlfn.TEXTAFTER(CELL("filename",A1),"]")</f>
        <v>2</v>
      </c>
      <c r="J11" t="s">
        <v>38</v>
      </c>
      <c r="K11" s="6">
        <f ca="1">SUBTOTAL(109,expenses_2[Total])</f>
        <v>-4100.5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SUMIFS(operations[Amount],operations[Month],$B$11,operations[Type],balance_2[[#This Row],[Type]])</f>
        <v>-4100.5</v>
      </c>
    </row>
    <row r="15" spans="1:11" x14ac:dyDescent="0.25">
      <c r="A15" t="s">
        <v>33</v>
      </c>
      <c r="B15" s="6">
        <f ca="1">SUMIFS(operations[Amount],operations[Month],$B$11,operations[Type],balance_2[[#This Row],[Type]])</f>
        <v>6565</v>
      </c>
    </row>
    <row r="16" spans="1:11" x14ac:dyDescent="0.25">
      <c r="A16" t="s">
        <v>34</v>
      </c>
      <c r="B16" s="6">
        <f ca="1">SUMIFS(operations[Amount],operations[Month],$B$11,operations[Type],balance_2[[#This Row],[Type]])</f>
        <v>0</v>
      </c>
    </row>
    <row r="17" spans="1:2" x14ac:dyDescent="0.25">
      <c r="A17" t="s">
        <v>38</v>
      </c>
      <c r="B17" s="6">
        <f ca="1">SUBTOTAL(109,balance_2[Total])</f>
        <v>2464.5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9235-4054-4744-AAD6-14538A51DC64}">
  <dimension ref="A1:K17"/>
  <sheetViews>
    <sheetView workbookViewId="0">
      <selection activeCell="D24" sqref="D24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100</v>
      </c>
      <c r="D2" s="6">
        <f ca="1">SUMIFS(operations[Amount],operations[Bank],flow_3[[#This Row],[Bank]],operations[Product],flow_3[[#This Row],[Product]],operations[Month],$B$11)</f>
        <v>67.5</v>
      </c>
      <c r="E2" s="6">
        <f ca="1">flow_3[[#This Row],[Opening balance]]+flow_3[[#This Row],[Operations]]</f>
        <v>167.5</v>
      </c>
      <c r="G2" t="s">
        <v>25</v>
      </c>
      <c r="H2" s="6">
        <f ca="1">SUMIFS(operations[Amount],operations[Month],$B$11,operations[Category],incomes_3[[#This Row],[Category]])</f>
        <v>0</v>
      </c>
      <c r="J2" t="s">
        <v>18</v>
      </c>
      <c r="K2" s="6">
        <f ca="1">SUMIFS(operations[Amount],operations[Month],$B$11,operations[Category],expenses_3[[#This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SUMIFS(operations[Amount],operations[Bank],flow_3[[#This Row],[Bank]],operations[Product],flow_3[[#This Row],[Product]],operations[Month],$B$11)</f>
        <v>5</v>
      </c>
      <c r="E3" s="6">
        <f ca="1">flow_3[[#This Row],[Opening balance]]+flow_3[[#This Row],[Operations]]</f>
        <v>15.5</v>
      </c>
      <c r="G3" t="s">
        <v>28</v>
      </c>
      <c r="H3" s="6">
        <f ca="1">SUMIFS(operations[Amount],operations[Month],$B$11,operations[Category],incomes_3[[#This Row],[Category]])</f>
        <v>150</v>
      </c>
      <c r="J3" t="s">
        <v>22</v>
      </c>
      <c r="K3" s="6">
        <f ca="1">SUMIFS(operations[Amount],operations[Month],$B$11,operations[Category],expenses_3[[#This Row],[Category]])</f>
        <v>-469.9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SUMIFS(operations[Amount],operations[Bank],flow_3[[#This Row],[Bank]],operations[Product],flow_3[[#This Row],[Product]],operations[Month],$B$11)</f>
        <v>821.59999999999991</v>
      </c>
      <c r="E4" s="6">
        <f ca="1">flow_3[[#This Row],[Opening balance]]+flow_3[[#This Row],[Operations]]</f>
        <v>1421.6</v>
      </c>
      <c r="G4" t="s">
        <v>29</v>
      </c>
      <c r="H4" s="6">
        <f ca="1">SUMIFS(operations[Amount],operations[Month],$B$11,operations[Category],incomes_3[[#This Row],[Category]])</f>
        <v>5</v>
      </c>
      <c r="J4" t="s">
        <v>20</v>
      </c>
      <c r="K4" s="6">
        <f ca="1">SUMIFS(operations[Amount],operations[Month],$B$11,operations[Category],expenses_3[[#This Row],[Category]])</f>
        <v>-200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SUMIFS(operations[Amount],operations[Bank],flow_3[[#This Row],[Bank]],operations[Product],flow_3[[#This Row],[Product]],operations[Month],$B$11)</f>
        <v>-104.5</v>
      </c>
      <c r="E5" s="6">
        <f ca="1">flow_3[[#This Row],[Opening balance]]+flow_3[[#This Row],[Operations]]</f>
        <v>-104.5</v>
      </c>
      <c r="G5" t="s">
        <v>30</v>
      </c>
      <c r="H5" s="6">
        <f ca="1">SUMIFS(operations[Amount],operations[Month],$B$11,operations[Category],incomes_3[[#This Row],[Category]])</f>
        <v>0</v>
      </c>
      <c r="J5" t="s">
        <v>17</v>
      </c>
      <c r="K5" s="6">
        <f ca="1">SUMIFS(operations[Amount],operations[Month],$B$11,operations[Category],expenses_3[[#This Row],[Category]])</f>
        <v>-734.99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SUMIFS(operations[Amount],operations[Bank],flow_3[[#This Row],[Bank]],operations[Product],flow_3[[#This Row],[Product]],operations[Month],$B$11)</f>
        <v>0</v>
      </c>
      <c r="E6" s="6">
        <f ca="1">flow_3[[#This Row],[Opening balance]]+flow_3[[#This Row],[Operations]]</f>
        <v>2000</v>
      </c>
      <c r="G6" t="s">
        <v>26</v>
      </c>
      <c r="H6" s="6">
        <f ca="1">SUMIFS(operations[Amount],operations[Month],$B$11,operations[Category],incomes_3[[#This Row],[Category]])</f>
        <v>4500</v>
      </c>
      <c r="J6" t="s">
        <v>21</v>
      </c>
      <c r="K6" s="6">
        <f ca="1">SUMIFS(operations[Amount],operations[Month],$B$11,operations[Category],expenses_3[[#This Row],[Category]])</f>
        <v>-9.5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SUMIFS(operations[Amount],operations[Bank],flow_3[[#This Row],[Bank]],operations[Product],flow_3[[#This Row],[Product]],operations[Month],$B$11)</f>
        <v>-24.49</v>
      </c>
      <c r="E7" s="6">
        <f ca="1">flow_3[[#This Row],[Opening balance]]+flow_3[[#This Row],[Operations]]</f>
        <v>175.51</v>
      </c>
      <c r="G7" t="s">
        <v>27</v>
      </c>
      <c r="H7" s="6">
        <f ca="1">SUMIFS(operations[Amount],operations[Month],$B$11,operations[Category],incomes_3[[#This Row],[Category]])</f>
        <v>0</v>
      </c>
      <c r="J7" t="s">
        <v>19</v>
      </c>
      <c r="K7" s="6">
        <f ca="1">SUMIFS(operations[Amount],operations[Month],$B$11,operations[Category],expenses_3[[#This Row],[Category]])</f>
        <v>-23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SUMIFS(operations[Amount],operations[Bank],flow_3[[#This Row],[Bank]],operations[Product],flow_3[[#This Row],[Product]],operations[Month],$B$11)</f>
        <v>-9.5</v>
      </c>
      <c r="E8" s="6">
        <f ca="1">flow_3[[#This Row],[Opening balance]]+flow_3[[#This Row],[Operations]]</f>
        <v>20.5</v>
      </c>
      <c r="G8" t="s">
        <v>38</v>
      </c>
      <c r="H8" s="6">
        <f ca="1">SUBTOTAL(109,incomes_3[Total])</f>
        <v>4655</v>
      </c>
      <c r="J8" t="s">
        <v>24</v>
      </c>
      <c r="K8" s="6">
        <f ca="1">SUMIFS(operations[Amount],operations[Month],$B$11,operations[Category],expenses_3[[#This Row],[Category]])</f>
        <v>-300</v>
      </c>
    </row>
    <row r="9" spans="1:11" x14ac:dyDescent="0.25">
      <c r="A9" s="1" t="s">
        <v>38</v>
      </c>
      <c r="B9" s="1"/>
      <c r="C9" s="6">
        <f ca="1">SUBTOTAL(109,flow_3[Opening balance])</f>
        <v>2940.5</v>
      </c>
      <c r="D9" s="6">
        <f ca="1">SUBTOTAL(109,flow_3[Operations])</f>
        <v>755.6099999999999</v>
      </c>
      <c r="E9" s="6">
        <f ca="1">SUBTOTAL(109,flow_3[Closing balance])</f>
        <v>3696.1099999999997</v>
      </c>
      <c r="J9" t="s">
        <v>23</v>
      </c>
      <c r="K9" s="6">
        <f ca="1">SUMIFS(operations[Amount],operations[Month],$B$11,operations[Category],expenses_3[[#This Row],[Category]])</f>
        <v>-79.5</v>
      </c>
    </row>
    <row r="10" spans="1:11" x14ac:dyDescent="0.25">
      <c r="J10" t="s">
        <v>16</v>
      </c>
      <c r="K10" s="6">
        <f ca="1">SUMIFS(operations[Amount],operations[Month],$B$11,operations[Category],expenses_3[[#This Row],[Category]])</f>
        <v>-82.5</v>
      </c>
    </row>
    <row r="11" spans="1:11" x14ac:dyDescent="0.25">
      <c r="A11" s="1" t="s">
        <v>6</v>
      </c>
      <c r="B11" t="str" cm="1">
        <f t="array" aca="1" ref="B11" ca="1">_xlfn.TEXTAFTER(CELL("filename",A1),"]")</f>
        <v>3</v>
      </c>
      <c r="J11" t="s">
        <v>38</v>
      </c>
      <c r="K11" s="6">
        <f ca="1">SUBTOTAL(109,expenses_3[Total])</f>
        <v>-3899.3900000000003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SUMIFS(operations[Amount],operations[Month],$B$11,operations[Type],balance_3[[#This Row],[Type]])</f>
        <v>-3899.39</v>
      </c>
    </row>
    <row r="15" spans="1:11" x14ac:dyDescent="0.25">
      <c r="A15" t="s">
        <v>33</v>
      </c>
      <c r="B15" s="6">
        <f ca="1">SUMIFS(operations[Amount],operations[Month],$B$11,operations[Type],balance_3[[#This Row],[Type]])</f>
        <v>4655</v>
      </c>
    </row>
    <row r="16" spans="1:11" x14ac:dyDescent="0.25">
      <c r="A16" t="s">
        <v>34</v>
      </c>
      <c r="B16" s="6">
        <f ca="1">SUMIFS(operations[Amount],operations[Month],$B$11,operations[Type],balance_3[[#This Row],[Type]])</f>
        <v>0</v>
      </c>
    </row>
    <row r="17" spans="1:2" x14ac:dyDescent="0.25">
      <c r="A17" t="s">
        <v>38</v>
      </c>
      <c r="B17" s="6">
        <f ca="1">SUBTOTAL(109,balance_3[Total])</f>
        <v>755.61000000000013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1A93-111C-4CFC-90FF-5AAE071986C0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167.5</v>
      </c>
      <c r="D2" s="6">
        <f ca="1">SUMIFS(operations[Amount],operations[Bank],flow_4[[#This Row],[Bank]],operations[Product],flow_4[[#This Row],[Product]],operations[Month],$B$11)</f>
        <v>101</v>
      </c>
      <c r="E2" s="6">
        <f ca="1">flow_4[[#This Row],[Opening balance]]+flow_4[[#This Row],[Operations]]</f>
        <v>268.5</v>
      </c>
      <c r="G2" t="s">
        <v>25</v>
      </c>
      <c r="H2" s="6">
        <f ca="1">SUMIFS(operations[Amount],operations[Month],$B$11,operations[Category],incomes_4[[#This Row],[Category]])</f>
        <v>0</v>
      </c>
      <c r="J2" t="s">
        <v>18</v>
      </c>
      <c r="K2" s="6">
        <f ca="1">SUMIFS(operations[Amount],operations[Month],$B$11,operations[Category],expenses_4[[#This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SUMIFS(operations[Amount],operations[Bank],flow_4[[#This Row],[Bank]],operations[Product],flow_4[[#This Row],[Product]],operations[Month],$B$11)</f>
        <v>50</v>
      </c>
      <c r="E3" s="6">
        <f ca="1">flow_4[[#This Row],[Opening balance]]+flow_4[[#This Row],[Operations]]</f>
        <v>60.5</v>
      </c>
      <c r="G3" t="s">
        <v>28</v>
      </c>
      <c r="H3" s="6">
        <f ca="1">SUMIFS(operations[Amount],operations[Month],$B$11,operations[Category],incomes_4[[#This Row],[Category]])</f>
        <v>150</v>
      </c>
      <c r="J3" t="s">
        <v>22</v>
      </c>
      <c r="K3" s="6">
        <f ca="1">SUMIFS(operations[Amount],operations[Month],$B$11,operations[Category],expenses_4[[#This Row],[Category]])</f>
        <v>-149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SUMIFS(operations[Amount],operations[Bank],flow_4[[#This Row],[Bank]],operations[Product],flow_4[[#This Row],[Product]],operations[Month],$B$11)</f>
        <v>562.72999999999968</v>
      </c>
      <c r="E4" s="6">
        <f ca="1">flow_4[[#This Row],[Opening balance]]+flow_4[[#This Row],[Operations]]</f>
        <v>1162.7299999999996</v>
      </c>
      <c r="G4" t="s">
        <v>29</v>
      </c>
      <c r="H4" s="6">
        <f ca="1">SUMIFS(operations[Amount],operations[Month],$B$11,operations[Category],incomes_4[[#This Row],[Category]])</f>
        <v>50</v>
      </c>
      <c r="J4" t="s">
        <v>20</v>
      </c>
      <c r="K4" s="6">
        <f ca="1">SUMIFS(operations[Amount],operations[Month],$B$11,operations[Category],expenses_4[[#This Row],[Category]])</f>
        <v>-1057.9000000000001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SUMIFS(operations[Amount],operations[Bank],flow_4[[#This Row],[Bank]],operations[Product],flow_4[[#This Row],[Product]],operations[Month],$B$11)</f>
        <v>13.110000000000007</v>
      </c>
      <c r="E5" s="6">
        <f ca="1">flow_4[[#This Row],[Opening balance]]+flow_4[[#This Row],[Operations]]</f>
        <v>13.110000000000007</v>
      </c>
      <c r="G5" t="s">
        <v>30</v>
      </c>
      <c r="H5" s="6">
        <f ca="1">SUMIFS(operations[Amount],operations[Month],$B$11,operations[Category],incomes_4[[#This Row],[Category]])</f>
        <v>0</v>
      </c>
      <c r="J5" t="s">
        <v>17</v>
      </c>
      <c r="K5" s="6">
        <f ca="1">SUMIFS(operations[Amount],operations[Month],$B$11,operations[Category],expenses_4[[#This Row],[Category]])</f>
        <v>-372.26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SUMIFS(operations[Amount],operations[Bank],flow_4[[#This Row],[Bank]],operations[Product],flow_4[[#This Row],[Product]],operations[Month],$B$11)</f>
        <v>0</v>
      </c>
      <c r="E6" s="6">
        <f ca="1">flow_4[[#This Row],[Opening balance]]+flow_4[[#This Row],[Operations]]</f>
        <v>2000</v>
      </c>
      <c r="G6" t="s">
        <v>26</v>
      </c>
      <c r="H6" s="6">
        <f ca="1">SUMIFS(operations[Amount],operations[Month],$B$11,operations[Category],incomes_4[[#This Row],[Category]])</f>
        <v>4500</v>
      </c>
      <c r="J6" t="s">
        <v>21</v>
      </c>
      <c r="K6" s="6">
        <f ca="1">SUMIFS(operations[Amount],operations[Month],$B$11,operations[Category],expenses_4[[#This Row],[Category]])</f>
        <v>-23.5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SUMIFS(operations[Amount],operations[Bank],flow_4[[#This Row],[Bank]],operations[Product],flow_4[[#This Row],[Product]],operations[Month],$B$11)</f>
        <v>0</v>
      </c>
      <c r="E7" s="6">
        <f ca="1">flow_4[[#This Row],[Opening balance]]+flow_4[[#This Row],[Operations]]</f>
        <v>200</v>
      </c>
      <c r="G7" t="s">
        <v>27</v>
      </c>
      <c r="H7" s="6">
        <f ca="1">SUMIFS(operations[Amount],operations[Month],$B$11,operations[Category],incomes_4[[#This Row],[Category]])</f>
        <v>0</v>
      </c>
      <c r="J7" t="s">
        <v>19</v>
      </c>
      <c r="K7" s="6">
        <f ca="1">SUMIFS(operations[Amount],operations[Month],$B$11,operations[Category],expenses_4[[#This Row],[Category]])</f>
        <v>-49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SUMIFS(operations[Amount],operations[Bank],flow_4[[#This Row],[Bank]],operations[Product],flow_4[[#This Row],[Product]],operations[Month],$B$11)</f>
        <v>0</v>
      </c>
      <c r="E8" s="6">
        <f ca="1">flow_4[[#This Row],[Opening balance]]+flow_4[[#This Row],[Operations]]</f>
        <v>30</v>
      </c>
      <c r="G8" t="s">
        <v>38</v>
      </c>
      <c r="H8" s="6">
        <f ca="1">SUBTOTAL(109,incomes_4[Total])</f>
        <v>4700</v>
      </c>
      <c r="J8" t="s">
        <v>24</v>
      </c>
      <c r="K8" s="6">
        <f ca="1">SUMIFS(operations[Amount],operations[Month],$B$11,operations[Category],expenses_4[[#This Row],[Category]])</f>
        <v>-100</v>
      </c>
    </row>
    <row r="9" spans="1:11" x14ac:dyDescent="0.25">
      <c r="A9" s="1" t="s">
        <v>38</v>
      </c>
      <c r="B9" s="1"/>
      <c r="C9" s="6">
        <f ca="1">SUBTOTAL(109,flow_4[Opening balance])</f>
        <v>3008</v>
      </c>
      <c r="D9" s="6">
        <f ca="1">SUBTOTAL(109,flow_4[Operations])</f>
        <v>726.83999999999969</v>
      </c>
      <c r="E9" s="6">
        <f ca="1">SUBTOTAL(109,flow_4[Closing balance])</f>
        <v>3734.8399999999992</v>
      </c>
      <c r="J9" t="s">
        <v>23</v>
      </c>
      <c r="K9" s="6">
        <f ca="1">SUMIFS(operations[Amount],operations[Month],$B$11,operations[Category],expenses_4[[#This Row],[Category]])</f>
        <v>-139</v>
      </c>
    </row>
    <row r="10" spans="1:11" x14ac:dyDescent="0.25">
      <c r="J10" t="s">
        <v>16</v>
      </c>
      <c r="K10" s="6">
        <f ca="1">SUMIFS(operations[Amount],operations[Month],$B$11,operations[Category],expenses_4[[#This Row],[Category]])</f>
        <v>-82.5</v>
      </c>
    </row>
    <row r="11" spans="1:11" x14ac:dyDescent="0.25">
      <c r="A11" s="1" t="s">
        <v>6</v>
      </c>
      <c r="B11" t="str" cm="1">
        <f t="array" aca="1" ref="B11" ca="1">_xlfn.TEXTAFTER(CELL("filename",A1),"]")</f>
        <v>4</v>
      </c>
      <c r="J11" t="s">
        <v>38</v>
      </c>
      <c r="K11" s="6">
        <f ca="1">SUBTOTAL(109,expenses_4[Total])</f>
        <v>-3973.16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SUMIFS(operations[Amount],operations[Month],$B$11,operations[Type],balance_4[[#This Row],[Type]])</f>
        <v>-3973.16</v>
      </c>
    </row>
    <row r="15" spans="1:11" x14ac:dyDescent="0.25">
      <c r="A15" t="s">
        <v>33</v>
      </c>
      <c r="B15" s="6">
        <f ca="1">SUMIFS(operations[Amount],operations[Month],$B$11,operations[Type],balance_4[[#This Row],[Type]])</f>
        <v>4700</v>
      </c>
    </row>
    <row r="16" spans="1:11" x14ac:dyDescent="0.25">
      <c r="A16" t="s">
        <v>34</v>
      </c>
      <c r="B16" s="6">
        <f ca="1">SUMIFS(operations[Amount],operations[Month],$B$11,operations[Type],balance_4[[#This Row],[Type]])</f>
        <v>0</v>
      </c>
    </row>
    <row r="17" spans="1:2" x14ac:dyDescent="0.25">
      <c r="A17" t="s">
        <v>38</v>
      </c>
      <c r="B17" s="6">
        <f ca="1">SUBTOTAL(109,balance_4[Total])</f>
        <v>726.84000000000015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104F-F640-4D58-A1DC-35D6D40943B0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268.5</v>
      </c>
      <c r="D2" s="6">
        <f ca="1">SUMIFS(operations[Amount],operations[Bank],flow_5[[#This Row],[Bank]],operations[Product],flow_5[[#This Row],[Product]],operations[Month],$B$11)</f>
        <v>-50</v>
      </c>
      <c r="E2" s="6">
        <f ca="1">flow_5[[#This Row],[Opening balance]]+flow_5[[#This Row],[Operations]]</f>
        <v>218.5</v>
      </c>
      <c r="G2" t="s">
        <v>25</v>
      </c>
      <c r="H2" s="6">
        <f ca="1">SUMIFS(operations[Amount],operations[Month],$B$11,operations[Category],incomes_5[[#This Row],[Category]])</f>
        <v>0</v>
      </c>
      <c r="J2" t="s">
        <v>18</v>
      </c>
      <c r="K2" s="6">
        <f ca="1">SUMIFS(operations[Amount],operations[Month],$B$11,operations[Category],expenses_5[[#This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SUMIFS(operations[Amount],operations[Bank],flow_5[[#This Row],[Bank]],operations[Product],flow_5[[#This Row],[Product]],operations[Month],$B$11)</f>
        <v>0</v>
      </c>
      <c r="E3" s="6">
        <f ca="1">flow_5[[#This Row],[Opening balance]]+flow_5[[#This Row],[Operations]]</f>
        <v>10.5</v>
      </c>
      <c r="G3" t="s">
        <v>28</v>
      </c>
      <c r="H3" s="6">
        <f ca="1">SUMIFS(operations[Amount],operations[Month],$B$11,operations[Category],incomes_5[[#This Row],[Category]])</f>
        <v>0</v>
      </c>
      <c r="J3" t="s">
        <v>22</v>
      </c>
      <c r="K3" s="6">
        <f ca="1">SUMIFS(operations[Amount],operations[Month],$B$11,operations[Category],expenses_5[[#This Row],[Category]])</f>
        <v>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SUMIFS(operations[Amount],operations[Bank],flow_5[[#This Row],[Bank]],operations[Product],flow_5[[#This Row],[Product]],operations[Month],$B$11)</f>
        <v>2328.61</v>
      </c>
      <c r="E4" s="6">
        <f ca="1">flow_5[[#This Row],[Opening balance]]+flow_5[[#This Row],[Operations]]</f>
        <v>2928.61</v>
      </c>
      <c r="G4" t="s">
        <v>29</v>
      </c>
      <c r="H4" s="6">
        <f ca="1">SUMIFS(operations[Amount],operations[Month],$B$11,operations[Category],incomes_5[[#This Row],[Category]])</f>
        <v>0</v>
      </c>
      <c r="J4" t="s">
        <v>20</v>
      </c>
      <c r="K4" s="6">
        <f ca="1">SUMIFS(operations[Amount],operations[Month],$B$11,operations[Category],expenses_5[[#This Row],[Category]])</f>
        <v>-80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SUMIFS(operations[Amount],operations[Bank],flow_5[[#This Row],[Bank]],operations[Product],flow_5[[#This Row],[Product]],operations[Month],$B$11)</f>
        <v>-908.61</v>
      </c>
      <c r="E5" s="6">
        <f ca="1">flow_5[[#This Row],[Opening balance]]+flow_5[[#This Row],[Operations]]</f>
        <v>-908.61</v>
      </c>
      <c r="G5" t="s">
        <v>30</v>
      </c>
      <c r="H5" s="6">
        <f ca="1">SUMIFS(operations[Amount],operations[Month],$B$11,operations[Category],incomes_5[[#This Row],[Category]])</f>
        <v>0</v>
      </c>
      <c r="J5" t="s">
        <v>17</v>
      </c>
      <c r="K5" s="6">
        <f ca="1">SUMIFS(operations[Amount],operations[Month],$B$11,operations[Category],expenses_5[[#This Row],[Category]])</f>
        <v>-1000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SUMIFS(operations[Amount],operations[Bank],flow_5[[#This Row],[Bank]],operations[Product],flow_5[[#This Row],[Product]],operations[Month],$B$11)</f>
        <v>0</v>
      </c>
      <c r="E6" s="6">
        <f ca="1">flow_5[[#This Row],[Opening balance]]+flow_5[[#This Row],[Operations]]</f>
        <v>2000</v>
      </c>
      <c r="G6" t="s">
        <v>26</v>
      </c>
      <c r="H6" s="6">
        <f ca="1">SUMIFS(operations[Amount],operations[Month],$B$11,operations[Category],incomes_5[[#This Row],[Category]])</f>
        <v>4500</v>
      </c>
      <c r="J6" t="s">
        <v>21</v>
      </c>
      <c r="K6" s="6">
        <f ca="1">SUMIFS(operations[Amount],operations[Month],$B$11,operations[Category],expenses_5[[#This Row],[Category]])</f>
        <v>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SUMIFS(operations[Amount],operations[Bank],flow_5[[#This Row],[Bank]],operations[Product],flow_5[[#This Row],[Product]],operations[Month],$B$11)</f>
        <v>0</v>
      </c>
      <c r="E7" s="6">
        <f ca="1">flow_5[[#This Row],[Opening balance]]+flow_5[[#This Row],[Operations]]</f>
        <v>200</v>
      </c>
      <c r="G7" t="s">
        <v>27</v>
      </c>
      <c r="H7" s="6">
        <f ca="1">SUMIFS(operations[Amount],operations[Month],$B$11,operations[Category],incomes_5[[#This Row],[Category]])</f>
        <v>0</v>
      </c>
      <c r="J7" t="s">
        <v>19</v>
      </c>
      <c r="K7" s="6">
        <f ca="1">SUMIFS(operations[Amount],operations[Month],$B$11,operations[Category],expenses_5[[#This Row],[Category]])</f>
        <v>-50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SUMIFS(operations[Amount],operations[Bank],flow_5[[#This Row],[Bank]],operations[Product],flow_5[[#This Row],[Product]],operations[Month],$B$11)</f>
        <v>-80</v>
      </c>
      <c r="E8" s="6">
        <f ca="1">flow_5[[#This Row],[Opening balance]]+flow_5[[#This Row],[Operations]]</f>
        <v>-50</v>
      </c>
      <c r="G8" t="s">
        <v>38</v>
      </c>
      <c r="H8" s="6">
        <f ca="1">SUBTOTAL(109,incomes_5[Total])</f>
        <v>4500</v>
      </c>
      <c r="J8" t="s">
        <v>24</v>
      </c>
      <c r="K8" s="6">
        <f ca="1">SUMIFS(operations[Amount],operations[Month],$B$11,operations[Category],expenses_5[[#This Row],[Category]])</f>
        <v>0</v>
      </c>
    </row>
    <row r="9" spans="1:11" x14ac:dyDescent="0.25">
      <c r="A9" s="1" t="s">
        <v>38</v>
      </c>
      <c r="B9" s="1"/>
      <c r="C9" s="6">
        <f ca="1">SUBTOTAL(109,flow_5[Opening balance])</f>
        <v>3109</v>
      </c>
      <c r="D9" s="6">
        <f ca="1">SUBTOTAL(109,flow_5[Operations])</f>
        <v>1290</v>
      </c>
      <c r="E9" s="6">
        <f ca="1">SUBTOTAL(109,flow_5[Closing balance])</f>
        <v>4399</v>
      </c>
      <c r="J9" t="s">
        <v>23</v>
      </c>
      <c r="K9" s="6">
        <f ca="1">SUMIFS(operations[Amount],operations[Month],$B$11,operations[Category],expenses_5[[#This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SUMIFS(operations[Amount],operations[Month],$B$11,operations[Category],expenses_5[[#This Row],[Category]])</f>
        <v>-80</v>
      </c>
    </row>
    <row r="11" spans="1:11" x14ac:dyDescent="0.25">
      <c r="A11" s="1" t="s">
        <v>6</v>
      </c>
      <c r="B11" t="str" cm="1">
        <f t="array" aca="1" ref="B11" ca="1">_xlfn.TEXTAFTER(CELL("filename",A1),"]")</f>
        <v>5</v>
      </c>
      <c r="J11" t="s">
        <v>38</v>
      </c>
      <c r="K11" s="6">
        <f ca="1">SUBTOTAL(109,expenses_5[Total])</f>
        <v>-3210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SUMIFS(operations[Amount],operations[Month],$B$11,operations[Type],balance_5[[#This Row],[Type]])</f>
        <v>-3210</v>
      </c>
    </row>
    <row r="15" spans="1:11" x14ac:dyDescent="0.25">
      <c r="A15" t="s">
        <v>33</v>
      </c>
      <c r="B15" s="6">
        <f ca="1">SUMIFS(operations[Amount],operations[Month],$B$11,operations[Type],balance_5[[#This Row],[Type]])</f>
        <v>4500</v>
      </c>
    </row>
    <row r="16" spans="1:11" x14ac:dyDescent="0.25">
      <c r="A16" t="s">
        <v>34</v>
      </c>
      <c r="B16" s="6">
        <f ca="1">SUMIFS(operations[Amount],operations[Month],$B$11,operations[Type],balance_5[[#This Row],[Type]])</f>
        <v>0</v>
      </c>
    </row>
    <row r="17" spans="1:2" x14ac:dyDescent="0.25">
      <c r="A17" t="s">
        <v>38</v>
      </c>
      <c r="B17" s="6">
        <f ca="1">SUBTOTAL(109,balance_5[Total])</f>
        <v>1290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3B92-46A4-43D6-BA01-9FB50CBF568F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218.5</v>
      </c>
      <c r="D2" s="6">
        <f ca="1">SUMIFS(operations[Amount],operations[Bank],flow_6[[#This Row],[Bank]],operations[Product],flow_6[[#This Row],[Product]],operations[Month],$B$11)</f>
        <v>250</v>
      </c>
      <c r="E2" s="6">
        <f ca="1">flow_6[[#This Row],[Opening balance]]+flow_6[[#This Row],[Operations]]</f>
        <v>468.5</v>
      </c>
      <c r="G2" t="s">
        <v>25</v>
      </c>
      <c r="H2" s="6">
        <f ca="1">SUMIFS(operations[Amount],operations[Month],$B$11,operations[Category],incomes_6[[#This Row],[Category]])</f>
        <v>400</v>
      </c>
      <c r="J2" t="s">
        <v>18</v>
      </c>
      <c r="K2" s="6">
        <f ca="1">SUMIFS(operations[Amount],operations[Month],$B$11,operations[Category],expenses_6[[#This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SUMIFS(operations[Amount],operations[Bank],flow_6[[#This Row],[Bank]],operations[Product],flow_6[[#This Row],[Product]],operations[Month],$B$11)</f>
        <v>0</v>
      </c>
      <c r="E3" s="6">
        <f ca="1">flow_6[[#This Row],[Opening balance]]+flow_6[[#This Row],[Operations]]</f>
        <v>10.5</v>
      </c>
      <c r="G3" t="s">
        <v>28</v>
      </c>
      <c r="H3" s="6">
        <f ca="1">SUMIFS(operations[Amount],operations[Month],$B$11,operations[Category],incomes_6[[#This Row],[Category]])</f>
        <v>0</v>
      </c>
      <c r="J3" t="s">
        <v>22</v>
      </c>
      <c r="K3" s="6">
        <f ca="1">SUMIFS(operations[Amount],operations[Month],$B$11,operations[Category],expenses_6[[#This Row],[Category]])</f>
        <v>-300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SUMIFS(operations[Amount],operations[Bank],flow_6[[#This Row],[Bank]],operations[Product],flow_6[[#This Row],[Product]],operations[Month],$B$11)</f>
        <v>1420</v>
      </c>
      <c r="E4" s="6">
        <f ca="1">flow_6[[#This Row],[Opening balance]]+flow_6[[#This Row],[Operations]]</f>
        <v>2020</v>
      </c>
      <c r="G4" t="s">
        <v>29</v>
      </c>
      <c r="H4" s="6">
        <f ca="1">SUMIFS(operations[Amount],operations[Month],$B$11,operations[Category],incomes_6[[#This Row],[Category]])</f>
        <v>0</v>
      </c>
      <c r="J4" t="s">
        <v>20</v>
      </c>
      <c r="K4" s="6">
        <f ca="1">SUMIFS(operations[Amount],operations[Month],$B$11,operations[Category],expenses_6[[#This Row],[Category]])</f>
        <v>-200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SUMIFS(operations[Amount],operations[Bank],flow_6[[#This Row],[Bank]],operations[Product],flow_6[[#This Row],[Product]],operations[Month],$B$11)</f>
        <v>-300</v>
      </c>
      <c r="E5" s="6">
        <f ca="1">flow_6[[#This Row],[Opening balance]]+flow_6[[#This Row],[Operations]]</f>
        <v>-300</v>
      </c>
      <c r="G5" t="s">
        <v>30</v>
      </c>
      <c r="H5" s="6">
        <f ca="1">SUMIFS(operations[Amount],operations[Month],$B$11,operations[Category],incomes_6[[#This Row],[Category]])</f>
        <v>0</v>
      </c>
      <c r="J5" t="s">
        <v>17</v>
      </c>
      <c r="K5" s="6">
        <f ca="1">SUMIFS(operations[Amount],operations[Month],$B$11,operations[Category],expenses_6[[#This Row],[Category]])</f>
        <v>-1000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SUMIFS(operations[Amount],operations[Bank],flow_6[[#This Row],[Bank]],operations[Product],flow_6[[#This Row],[Product]],operations[Month],$B$11)</f>
        <v>0</v>
      </c>
      <c r="E6" s="6">
        <f ca="1">flow_6[[#This Row],[Opening balance]]+flow_6[[#This Row],[Operations]]</f>
        <v>2000</v>
      </c>
      <c r="G6" t="s">
        <v>26</v>
      </c>
      <c r="H6" s="6">
        <f ca="1">SUMIFS(operations[Amount],operations[Month],$B$11,operations[Category],incomes_6[[#This Row],[Category]])</f>
        <v>4500</v>
      </c>
      <c r="J6" t="s">
        <v>21</v>
      </c>
      <c r="K6" s="6">
        <f ca="1">SUMIFS(operations[Amount],operations[Month],$B$11,operations[Category],expenses_6[[#This Row],[Category]])</f>
        <v>-100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SUMIFS(operations[Amount],operations[Bank],flow_6[[#This Row],[Bank]],operations[Product],flow_6[[#This Row],[Product]],operations[Month],$B$11)</f>
        <v>0</v>
      </c>
      <c r="E7" s="6">
        <f ca="1">flow_6[[#This Row],[Opening balance]]+flow_6[[#This Row],[Operations]]</f>
        <v>200</v>
      </c>
      <c r="G7" t="s">
        <v>27</v>
      </c>
      <c r="H7" s="6">
        <f ca="1">SUMIFS(operations[Amount],operations[Month],$B$11,operations[Category],incomes_6[[#This Row],[Category]])</f>
        <v>0</v>
      </c>
      <c r="J7" t="s">
        <v>19</v>
      </c>
      <c r="K7" s="6">
        <f ca="1">SUMIFS(operations[Amount],operations[Month],$B$11,operations[Category],expenses_6[[#This Row],[Category]])</f>
        <v>-50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SUMIFS(operations[Amount],operations[Bank],flow_6[[#This Row],[Bank]],operations[Product],flow_6[[#This Row],[Product]],operations[Month],$B$11)</f>
        <v>-200</v>
      </c>
      <c r="E8" s="6">
        <f ca="1">flow_6[[#This Row],[Opening balance]]+flow_6[[#This Row],[Operations]]</f>
        <v>-170</v>
      </c>
      <c r="G8" t="s">
        <v>38</v>
      </c>
      <c r="H8" s="6">
        <f ca="1">SUBTOTAL(109,incomes_6[Total])</f>
        <v>4900</v>
      </c>
      <c r="J8" t="s">
        <v>24</v>
      </c>
      <c r="K8" s="6">
        <f ca="1">SUMIFS(operations[Amount],operations[Month],$B$11,operations[Category],expenses_6[[#This Row],[Category]])</f>
        <v>0</v>
      </c>
    </row>
    <row r="9" spans="1:11" x14ac:dyDescent="0.25">
      <c r="A9" s="1" t="s">
        <v>38</v>
      </c>
      <c r="B9" s="1"/>
      <c r="C9" s="6">
        <f ca="1">SUBTOTAL(109,flow_6[Opening balance])</f>
        <v>3059</v>
      </c>
      <c r="D9" s="6">
        <f ca="1">SUBTOTAL(109,flow_6[Operations])</f>
        <v>1170</v>
      </c>
      <c r="E9" s="6">
        <f ca="1">SUBTOTAL(109,flow_6[Closing balance])</f>
        <v>4229</v>
      </c>
      <c r="J9" t="s">
        <v>23</v>
      </c>
      <c r="K9" s="6">
        <f ca="1">SUMIFS(operations[Amount],operations[Month],$B$11,operations[Category],expenses_6[[#This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SUMIFS(operations[Amount],operations[Month],$B$11,operations[Category],expenses_6[[#This Row],[Category]])</f>
        <v>-80</v>
      </c>
    </row>
    <row r="11" spans="1:11" x14ac:dyDescent="0.25">
      <c r="A11" s="1" t="s">
        <v>6</v>
      </c>
      <c r="B11" t="str" cm="1">
        <f t="array" aca="1" ref="B11" ca="1">_xlfn.TEXTAFTER(CELL("filename",A1),"]")</f>
        <v>6</v>
      </c>
      <c r="J11" t="s">
        <v>38</v>
      </c>
      <c r="K11" s="6">
        <f ca="1">SUBTOTAL(109,expenses_6[Total])</f>
        <v>-3730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SUMIFS(operations[Amount],operations[Month],$B$11,operations[Type],balance_6[[#This Row],[Type]])</f>
        <v>-3730</v>
      </c>
    </row>
    <row r="15" spans="1:11" x14ac:dyDescent="0.25">
      <c r="A15" t="s">
        <v>33</v>
      </c>
      <c r="B15" s="6">
        <f ca="1">SUMIFS(operations[Amount],operations[Month],$B$11,operations[Type],balance_6[[#This Row],[Type]])</f>
        <v>4900</v>
      </c>
    </row>
    <row r="16" spans="1:11" x14ac:dyDescent="0.25">
      <c r="A16" t="s">
        <v>34</v>
      </c>
      <c r="B16" s="6">
        <f ca="1">SUMIFS(operations[Amount],operations[Month],$B$11,operations[Type],balance_6[[#This Row],[Type]])</f>
        <v>0</v>
      </c>
    </row>
    <row r="17" spans="1:2" x14ac:dyDescent="0.25">
      <c r="A17" t="s">
        <v>38</v>
      </c>
      <c r="B17" s="6">
        <f ca="1">SUBTOTAL(109,balance_6[Total])</f>
        <v>1170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D73E-B1C1-4FCB-9FA9-25BF2EB981FE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468.5</v>
      </c>
      <c r="D2" s="6">
        <f ca="1">SUMIFS(operations[Amount],operations[Bank],flow_7[[#This Row],[Bank]],operations[Product],flow_7[[#This Row],[Product]],operations[Month],$B$11)</f>
        <v>-100</v>
      </c>
      <c r="E2" s="6">
        <f ca="1">flow_7[[#This Row],[Opening balance]]+flow_7[[#This Row],[Operations]]</f>
        <v>368.5</v>
      </c>
      <c r="G2" t="s">
        <v>25</v>
      </c>
      <c r="H2" s="6">
        <f ca="1">SUMIFS(operations[Amount],operations[Month],$B$11,operations[Category],incomes_7[[#This Row],[Category]])</f>
        <v>0</v>
      </c>
      <c r="J2" t="s">
        <v>18</v>
      </c>
      <c r="K2" s="6">
        <f ca="1">SUMIFS(operations[Amount],operations[Month],$B$11,operations[Category],expenses_7[[#This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SUMIFS(operations[Amount],operations[Bank],flow_7[[#This Row],[Bank]],operations[Product],flow_7[[#This Row],[Product]],operations[Month],$B$11)</f>
        <v>1050</v>
      </c>
      <c r="E3" s="6">
        <f ca="1">flow_7[[#This Row],[Opening balance]]+flow_7[[#This Row],[Operations]]</f>
        <v>1060.5</v>
      </c>
      <c r="G3" t="s">
        <v>28</v>
      </c>
      <c r="H3" s="6">
        <f ca="1">SUMIFS(operations[Amount],operations[Month],$B$11,operations[Category],incomes_7[[#This Row],[Category]])</f>
        <v>120</v>
      </c>
      <c r="J3" t="s">
        <v>22</v>
      </c>
      <c r="K3" s="6">
        <f ca="1">SUMIFS(operations[Amount],operations[Month],$B$11,operations[Category],expenses_7[[#This Row],[Category]])</f>
        <v>250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SUMIFS(operations[Amount],operations[Bank],flow_7[[#This Row],[Bank]],operations[Product],flow_7[[#This Row],[Product]],operations[Month],$B$11)</f>
        <v>1010</v>
      </c>
      <c r="E4" s="6">
        <f ca="1">flow_7[[#This Row],[Opening balance]]+flow_7[[#This Row],[Operations]]</f>
        <v>1610</v>
      </c>
      <c r="G4" t="s">
        <v>29</v>
      </c>
      <c r="H4" s="6">
        <f ca="1">SUMIFS(operations[Amount],operations[Month],$B$11,operations[Category],incomes_7[[#This Row],[Category]])</f>
        <v>800</v>
      </c>
      <c r="J4" t="s">
        <v>20</v>
      </c>
      <c r="K4" s="6">
        <f ca="1">SUMIFS(operations[Amount],operations[Month],$B$11,operations[Category],expenses_7[[#This Row],[Category]])</f>
        <v>-700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SUMIFS(operations[Amount],operations[Bank],flow_7[[#This Row],[Bank]],operations[Product],flow_7[[#This Row],[Product]],operations[Month],$B$11)</f>
        <v>1165</v>
      </c>
      <c r="E5" s="6">
        <f ca="1">flow_7[[#This Row],[Opening balance]]+flow_7[[#This Row],[Operations]]</f>
        <v>1165</v>
      </c>
      <c r="G5" t="s">
        <v>30</v>
      </c>
      <c r="H5" s="6">
        <f ca="1">SUMIFS(operations[Amount],operations[Month],$B$11,operations[Category],incomes_7[[#This Row],[Category]])</f>
        <v>0</v>
      </c>
      <c r="J5" t="s">
        <v>17</v>
      </c>
      <c r="K5" s="6">
        <f ca="1">SUMIFS(operations[Amount],operations[Month],$B$11,operations[Category],expenses_7[[#This Row],[Category]])</f>
        <v>-165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SUMIFS(operations[Amount],operations[Bank],flow_7[[#This Row],[Bank]],operations[Product],flow_7[[#This Row],[Product]],operations[Month],$B$11)</f>
        <v>-180</v>
      </c>
      <c r="E6" s="6">
        <f ca="1">flow_7[[#This Row],[Opening balance]]+flow_7[[#This Row],[Operations]]</f>
        <v>1820</v>
      </c>
      <c r="G6" t="s">
        <v>26</v>
      </c>
      <c r="H6" s="6">
        <f ca="1">SUMIFS(operations[Amount],operations[Month],$B$11,operations[Category],incomes_7[[#This Row],[Category]])</f>
        <v>4500</v>
      </c>
      <c r="J6" t="s">
        <v>21</v>
      </c>
      <c r="K6" s="6">
        <f ca="1">SUMIFS(operations[Amount],operations[Month],$B$11,operations[Category],expenses_7[[#This Row],[Category]])</f>
        <v>-300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SUMIFS(operations[Amount],operations[Bank],flow_7[[#This Row],[Bank]],operations[Product],flow_7[[#This Row],[Product]],operations[Month],$B$11)</f>
        <v>-30</v>
      </c>
      <c r="E7" s="6">
        <f ca="1">flow_7[[#This Row],[Opening balance]]+flow_7[[#This Row],[Operations]]</f>
        <v>170</v>
      </c>
      <c r="G7" t="s">
        <v>27</v>
      </c>
      <c r="H7" s="6">
        <f ca="1">SUMIFS(operations[Amount],operations[Month],$B$11,operations[Category],incomes_7[[#This Row],[Category]])</f>
        <v>500</v>
      </c>
      <c r="J7" t="s">
        <v>19</v>
      </c>
      <c r="K7" s="6">
        <f ca="1">SUMIFS(operations[Amount],operations[Month],$B$11,operations[Category],expenses_7[[#This Row],[Category]])</f>
        <v>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SUMIFS(operations[Amount],operations[Bank],flow_7[[#This Row],[Bank]],operations[Product],flow_7[[#This Row],[Product]],operations[Month],$B$11)</f>
        <v>0</v>
      </c>
      <c r="E8" s="6">
        <f ca="1">flow_7[[#This Row],[Opening balance]]+flow_7[[#This Row],[Operations]]</f>
        <v>30</v>
      </c>
      <c r="G8" t="s">
        <v>38</v>
      </c>
      <c r="H8" s="6">
        <f ca="1">SUBTOTAL(109,incomes_7[Total])</f>
        <v>5920</v>
      </c>
      <c r="J8" t="s">
        <v>24</v>
      </c>
      <c r="K8" s="6">
        <f ca="1">SUMIFS(operations[Amount],operations[Month],$B$11,operations[Category],expenses_7[[#This Row],[Category]])</f>
        <v>0</v>
      </c>
    </row>
    <row r="9" spans="1:11" x14ac:dyDescent="0.25">
      <c r="A9" s="1" t="s">
        <v>38</v>
      </c>
      <c r="B9" s="1"/>
      <c r="C9" s="6">
        <f ca="1">SUBTOTAL(109,flow_7[Opening balance])</f>
        <v>3309</v>
      </c>
      <c r="D9" s="6">
        <f ca="1">SUBTOTAL(109,flow_7[Operations])</f>
        <v>2915</v>
      </c>
      <c r="E9" s="6">
        <f ca="1">SUBTOTAL(109,flow_7[Closing balance])</f>
        <v>6224</v>
      </c>
      <c r="J9" t="s">
        <v>23</v>
      </c>
      <c r="K9" s="6">
        <f ca="1">SUMIFS(operations[Amount],operations[Month],$B$11,operations[Category],expenses_7[[#This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SUMIFS(operations[Amount],operations[Month],$B$11,operations[Category],expenses_7[[#This Row],[Category]])</f>
        <v>-90</v>
      </c>
    </row>
    <row r="11" spans="1:11" x14ac:dyDescent="0.25">
      <c r="A11" s="1" t="s">
        <v>6</v>
      </c>
      <c r="B11" t="str" cm="1">
        <f t="array" aca="1" ref="B11" ca="1">_xlfn.TEXTAFTER(CELL("filename",A1),"]")</f>
        <v>7</v>
      </c>
      <c r="J11" t="s">
        <v>38</v>
      </c>
      <c r="K11" s="6">
        <f ca="1">SUBTOTAL(109,expenses_7[Total])</f>
        <v>-3005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SUMIFS(operations[Amount],operations[Month],$B$11,operations[Type],balance_7[[#This Row],[Type]])</f>
        <v>-3005</v>
      </c>
    </row>
    <row r="15" spans="1:11" x14ac:dyDescent="0.25">
      <c r="A15" t="s">
        <v>33</v>
      </c>
      <c r="B15" s="6">
        <f ca="1">SUMIFS(operations[Amount],operations[Month],$B$11,operations[Type],balance_7[[#This Row],[Type]])</f>
        <v>5920</v>
      </c>
    </row>
    <row r="16" spans="1:11" x14ac:dyDescent="0.25">
      <c r="A16" t="s">
        <v>34</v>
      </c>
      <c r="B16" s="6">
        <f ca="1">SUMIFS(operations[Amount],operations[Month],$B$11,operations[Type],balance_7[[#This Row],[Type]])</f>
        <v>0</v>
      </c>
    </row>
    <row r="17" spans="1:2" x14ac:dyDescent="0.25">
      <c r="A17" t="s">
        <v>38</v>
      </c>
      <c r="B17" s="6">
        <f ca="1">SUBTOTAL(109,balance_7[Total])</f>
        <v>2915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7152-C969-4FCE-A184-B47605166887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368.5</v>
      </c>
      <c r="D2" s="6">
        <f ca="1">SUMIFS(operations[Amount],operations[Bank],flow_8[[#This Row],[Bank]],operations[Product],flow_8[[#This Row],[Product]],operations[Month],$B$11)</f>
        <v>200</v>
      </c>
      <c r="E2" s="6">
        <f ca="1">flow_8[[#This Row],[Opening balance]]+flow_8[[#This Row],[Operations]]</f>
        <v>568.5</v>
      </c>
      <c r="G2" t="s">
        <v>25</v>
      </c>
      <c r="H2" s="6">
        <f ca="1">SUMIFS(operations[Amount],operations[Month],$B$11,operations[Category],incomes_8[[#This Row],[Category]])</f>
        <v>0</v>
      </c>
      <c r="J2" t="s">
        <v>18</v>
      </c>
      <c r="K2" s="6">
        <f ca="1">SUMIFS(operations[Amount],operations[Month],$B$11,operations[Category],expenses_9[[#This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SUMIFS(operations[Amount],operations[Bank],flow_8[[#This Row],[Bank]],operations[Product],flow_8[[#This Row],[Product]],operations[Month],$B$11)</f>
        <v>-300</v>
      </c>
      <c r="E3" s="6">
        <f ca="1">flow_8[[#This Row],[Opening balance]]+flow_8[[#This Row],[Operations]]</f>
        <v>-289.5</v>
      </c>
      <c r="G3" t="s">
        <v>28</v>
      </c>
      <c r="H3" s="6">
        <f ca="1">SUMIFS(operations[Amount],operations[Month],$B$11,operations[Category],incomes_8[[#This Row],[Category]])</f>
        <v>0</v>
      </c>
      <c r="J3" t="s">
        <v>22</v>
      </c>
      <c r="K3" s="6">
        <f ca="1">SUMIFS(operations[Amount],operations[Month],$B$11,operations[Category],expenses_9[[#This Row],[Category]])</f>
        <v>-300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SUMIFS(operations[Amount],operations[Bank],flow_8[[#This Row],[Bank]],operations[Product],flow_8[[#This Row],[Product]],operations[Month],$B$11)</f>
        <v>1475</v>
      </c>
      <c r="E4" s="6">
        <f ca="1">flow_8[[#This Row],[Opening balance]]+flow_8[[#This Row],[Operations]]</f>
        <v>2075</v>
      </c>
      <c r="G4" t="s">
        <v>29</v>
      </c>
      <c r="H4" s="6">
        <f ca="1">SUMIFS(operations[Amount],operations[Month],$B$11,operations[Category],incomes_8[[#This Row],[Category]])</f>
        <v>400</v>
      </c>
      <c r="J4" t="s">
        <v>20</v>
      </c>
      <c r="K4" s="6">
        <f ca="1">SUMIFS(operations[Amount],operations[Month],$B$11,operations[Category],expenses_9[[#This Row],[Category]])</f>
        <v>-250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SUMIFS(operations[Amount],operations[Bank],flow_8[[#This Row],[Bank]],operations[Product],flow_8[[#This Row],[Product]],operations[Month],$B$11)</f>
        <v>33</v>
      </c>
      <c r="E5" s="6">
        <f ca="1">flow_8[[#This Row],[Opening balance]]+flow_8[[#This Row],[Operations]]</f>
        <v>33</v>
      </c>
      <c r="G5" t="s">
        <v>30</v>
      </c>
      <c r="H5" s="6">
        <f ca="1">SUMIFS(operations[Amount],operations[Month],$B$11,operations[Category],incomes_8[[#This Row],[Category]])</f>
        <v>0</v>
      </c>
      <c r="J5" t="s">
        <v>17</v>
      </c>
      <c r="K5" s="6">
        <f ca="1">SUMIFS(operations[Amount],operations[Month],$B$11,operations[Category],expenses_9[[#This Row],[Category]])</f>
        <v>-749.5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SUMIFS(operations[Amount],operations[Bank],flow_8[[#This Row],[Bank]],operations[Product],flow_8[[#This Row],[Product]],operations[Month],$B$11)</f>
        <v>-1020</v>
      </c>
      <c r="E6" s="6">
        <f ca="1">flow_8[[#This Row],[Opening balance]]+flow_8[[#This Row],[Operations]]</f>
        <v>980</v>
      </c>
      <c r="G6" t="s">
        <v>26</v>
      </c>
      <c r="H6" s="6">
        <f ca="1">SUMIFS(operations[Amount],operations[Month],$B$11,operations[Category],incomes_8[[#This Row],[Category]])</f>
        <v>4500</v>
      </c>
      <c r="J6" t="s">
        <v>21</v>
      </c>
      <c r="K6" s="6">
        <f ca="1">SUMIFS(operations[Amount],operations[Month],$B$11,operations[Category],expenses_9[[#This Row],[Category]])</f>
        <v>-400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SUMIFS(operations[Amount],operations[Bank],flow_8[[#This Row],[Bank]],operations[Product],flow_8[[#This Row],[Product]],operations[Month],$B$11)</f>
        <v>0</v>
      </c>
      <c r="E7" s="6">
        <f ca="1">flow_8[[#This Row],[Opening balance]]+flow_8[[#This Row],[Operations]]</f>
        <v>200</v>
      </c>
      <c r="G7" t="s">
        <v>27</v>
      </c>
      <c r="H7" s="6">
        <f ca="1">SUMIFS(operations[Amount],operations[Month],$B$11,operations[Category],incomes_8[[#This Row],[Category]])</f>
        <v>500</v>
      </c>
      <c r="J7" t="s">
        <v>19</v>
      </c>
      <c r="K7" s="6">
        <f ca="1">SUMIFS(operations[Amount],operations[Month],$B$11,operations[Category],expenses_9[[#This Row],[Category]])</f>
        <v>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SUMIFS(operations[Amount],operations[Bank],flow_8[[#This Row],[Bank]],operations[Product],flow_8[[#This Row],[Product]],operations[Month],$B$11)</f>
        <v>2.5</v>
      </c>
      <c r="E8" s="6">
        <f ca="1">flow_8[[#This Row],[Opening balance]]+flow_8[[#This Row],[Operations]]</f>
        <v>32.5</v>
      </c>
      <c r="G8" t="s">
        <v>38</v>
      </c>
      <c r="H8" s="6">
        <f ca="1">SUBTOTAL(109,incomes_8[Total])</f>
        <v>5400</v>
      </c>
      <c r="J8" t="s">
        <v>24</v>
      </c>
      <c r="K8" s="6">
        <f ca="1">SUMIFS(operations[Amount],operations[Month],$B$11,operations[Category],expenses_9[[#This Row],[Category]])</f>
        <v>0</v>
      </c>
    </row>
    <row r="9" spans="1:11" x14ac:dyDescent="0.25">
      <c r="A9" s="1" t="s">
        <v>38</v>
      </c>
      <c r="B9" s="1"/>
      <c r="C9" s="6">
        <f ca="1">SUBTOTAL(109,flow_8[Opening balance])</f>
        <v>3209</v>
      </c>
      <c r="D9" s="6">
        <f ca="1">SUBTOTAL(109,flow_8[Operations])</f>
        <v>390.5</v>
      </c>
      <c r="E9" s="6">
        <f ca="1">SUBTOTAL(109,flow_8[Closing balance])</f>
        <v>3599.5</v>
      </c>
      <c r="J9" t="s">
        <v>23</v>
      </c>
      <c r="K9" s="6">
        <f ca="1">SUMIFS(operations[Amount],operations[Month],$B$11,operations[Category],expenses_9[[#This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SUMIFS(operations[Amount],operations[Month],$B$11,operations[Category],expenses_9[[#This Row],[Category]])</f>
        <v>-290</v>
      </c>
    </row>
    <row r="11" spans="1:11" x14ac:dyDescent="0.25">
      <c r="A11" s="1" t="s">
        <v>6</v>
      </c>
      <c r="B11" t="str" cm="1">
        <f t="array" aca="1" ref="B11" ca="1">_xlfn.TEXTAFTER(CELL("filename",A1),"]")</f>
        <v>8</v>
      </c>
      <c r="J11" t="s">
        <v>38</v>
      </c>
      <c r="K11" s="6">
        <f ca="1">SUBTOTAL(109,expenses_9[Total])</f>
        <v>-3989.5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SUMIFS(operations[Amount],operations[Month],$B$11,operations[Type],balance_8[[#This Row],[Type]])</f>
        <v>-3989.5</v>
      </c>
    </row>
    <row r="15" spans="1:11" x14ac:dyDescent="0.25">
      <c r="A15" t="s">
        <v>33</v>
      </c>
      <c r="B15" s="6">
        <f ca="1">SUMIFS(operations[Amount],operations[Month],$B$11,operations[Type],balance_8[[#This Row],[Type]])</f>
        <v>5400</v>
      </c>
    </row>
    <row r="16" spans="1:11" x14ac:dyDescent="0.25">
      <c r="A16" t="s">
        <v>34</v>
      </c>
      <c r="B16" s="6">
        <f ca="1">SUMIFS(operations[Amount],operations[Month],$B$11,operations[Type],balance_8[[#This Row],[Type]])</f>
        <v>-1020</v>
      </c>
    </row>
    <row r="17" spans="1:2" x14ac:dyDescent="0.25">
      <c r="A17" t="s">
        <v>38</v>
      </c>
      <c r="B17" s="6">
        <f ca="1">SUBTOTAL(109,balance_8[Total])</f>
        <v>390.5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8995-2855-4325-9039-E164B4EA8F37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568.5</v>
      </c>
      <c r="D2" s="6">
        <f ca="1">SUMIFS(operations[Amount],operations[Bank],flow_9[[#This Row],[Bank]],operations[Product],flow_9[[#This Row],[Product]],operations[Month],$B$11)</f>
        <v>-20</v>
      </c>
      <c r="E2" s="6">
        <f ca="1">flow_9[[#This Row],[Opening balance]]+flow_9[[#This Row],[Operations]]</f>
        <v>548.5</v>
      </c>
      <c r="G2" t="s">
        <v>25</v>
      </c>
      <c r="H2" s="6">
        <f ca="1">SUMIFS(operations[Amount],operations[Month],$B$11,operations[Category],incomes_9[[#This Row],[Category]])</f>
        <v>0</v>
      </c>
      <c r="J2" t="s">
        <v>18</v>
      </c>
      <c r="K2" s="6">
        <f ca="1">SUMIFS(operations[Amount],operations[Month],$B$11,operations[Category],expenses_8[[#This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SUMIFS(operations[Amount],operations[Bank],flow_9[[#This Row],[Bank]],operations[Product],flow_9[[#This Row],[Product]],operations[Month],$B$11)</f>
        <v>0</v>
      </c>
      <c r="E3" s="6">
        <f ca="1">flow_9[[#This Row],[Opening balance]]+flow_9[[#This Row],[Operations]]</f>
        <v>10.5</v>
      </c>
      <c r="G3" t="s">
        <v>28</v>
      </c>
      <c r="H3" s="6">
        <f ca="1">SUMIFS(operations[Amount],operations[Month],$B$11,operations[Category],incomes_9[[#This Row],[Category]])</f>
        <v>0</v>
      </c>
      <c r="J3" t="s">
        <v>22</v>
      </c>
      <c r="K3" s="6">
        <f ca="1">SUMIFS(operations[Amount],operations[Month],$B$11,operations[Category],expenses_8[[#This Row],[Category]])</f>
        <v>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SUMIFS(operations[Amount],operations[Bank],flow_9[[#This Row],[Bank]],operations[Product],flow_9[[#This Row],[Product]],operations[Month],$B$11)</f>
        <v>1689.5</v>
      </c>
      <c r="E4" s="6">
        <f ca="1">flow_9[[#This Row],[Opening balance]]+flow_9[[#This Row],[Operations]]</f>
        <v>2289.5</v>
      </c>
      <c r="G4" t="s">
        <v>29</v>
      </c>
      <c r="H4" s="6">
        <f ca="1">SUMIFS(operations[Amount],operations[Month],$B$11,operations[Category],incomes_9[[#This Row],[Category]])</f>
        <v>0</v>
      </c>
      <c r="J4" t="s">
        <v>20</v>
      </c>
      <c r="K4" s="6">
        <f ca="1">SUMIFS(operations[Amount],operations[Month],$B$11,operations[Category],expenses_8[[#This Row],[Category]])</f>
        <v>-20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SUMIFS(operations[Amount],operations[Bank],flow_9[[#This Row],[Bank]],operations[Product],flow_9[[#This Row],[Product]],operations[Month],$B$11)</f>
        <v>82</v>
      </c>
      <c r="E5" s="6">
        <f ca="1">flow_9[[#This Row],[Opening balance]]+flow_9[[#This Row],[Operations]]</f>
        <v>82</v>
      </c>
      <c r="G5" t="s">
        <v>30</v>
      </c>
      <c r="H5" s="6">
        <f ca="1">SUMIFS(operations[Amount],operations[Month],$B$11,operations[Category],incomes_9[[#This Row],[Category]])</f>
        <v>0</v>
      </c>
      <c r="J5" t="s">
        <v>17</v>
      </c>
      <c r="K5" s="6">
        <f ca="1">SUMIFS(operations[Amount],operations[Month],$B$11,operations[Category],expenses_8[[#This Row],[Category]])</f>
        <v>-538.5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SUMIFS(operations[Amount],operations[Bank],flow_9[[#This Row],[Bank]],operations[Product],flow_9[[#This Row],[Product]],operations[Month],$B$11)</f>
        <v>0</v>
      </c>
      <c r="E6" s="6">
        <f ca="1">flow_9[[#This Row],[Opening balance]]+flow_9[[#This Row],[Operations]]</f>
        <v>2000</v>
      </c>
      <c r="G6" t="s">
        <v>26</v>
      </c>
      <c r="H6" s="6">
        <f ca="1">SUMIFS(operations[Amount],operations[Month],$B$11,operations[Category],incomes_9[[#This Row],[Category]])</f>
        <v>4500</v>
      </c>
      <c r="J6" t="s">
        <v>21</v>
      </c>
      <c r="K6" s="6">
        <f ca="1">SUMIFS(operations[Amount],operations[Month],$B$11,operations[Category],expenses_8[[#This Row],[Category]])</f>
        <v>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SUMIFS(operations[Amount],operations[Bank],flow_9[[#This Row],[Bank]],operations[Product],flow_9[[#This Row],[Product]],operations[Month],$B$11)</f>
        <v>0</v>
      </c>
      <c r="E7" s="6">
        <f ca="1">flow_9[[#This Row],[Opening balance]]+flow_9[[#This Row],[Operations]]</f>
        <v>200</v>
      </c>
      <c r="G7" t="s">
        <v>27</v>
      </c>
      <c r="H7" s="6">
        <f ca="1">SUMIFS(operations[Amount],operations[Month],$B$11,operations[Category],incomes_9[[#This Row],[Category]])</f>
        <v>0</v>
      </c>
      <c r="J7" t="s">
        <v>19</v>
      </c>
      <c r="K7" s="6">
        <f ca="1">SUMIFS(operations[Amount],operations[Month],$B$11,operations[Category],expenses_8[[#This Row],[Category]])</f>
        <v>-40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SUMIFS(operations[Amount],operations[Bank],flow_9[[#This Row],[Bank]],operations[Product],flow_9[[#This Row],[Product]],operations[Month],$B$11)</f>
        <v>0</v>
      </c>
      <c r="E8" s="6">
        <f ca="1">flow_9[[#This Row],[Opening balance]]+flow_9[[#This Row],[Operations]]</f>
        <v>30</v>
      </c>
      <c r="G8" t="s">
        <v>38</v>
      </c>
      <c r="H8" s="6">
        <f ca="1">SUBTOTAL(109,incomes_9[Total])</f>
        <v>4500</v>
      </c>
      <c r="J8" t="s">
        <v>24</v>
      </c>
      <c r="K8" s="6">
        <f ca="1">SUMIFS(operations[Amount],operations[Month],$B$11,operations[Category],expenses_8[[#This Row],[Category]])</f>
        <v>0</v>
      </c>
    </row>
    <row r="9" spans="1:11" x14ac:dyDescent="0.25">
      <c r="A9" s="1" t="s">
        <v>38</v>
      </c>
      <c r="B9" s="1"/>
      <c r="C9" s="6">
        <f ca="1">SUBTOTAL(109,flow_9[Opening balance])</f>
        <v>3409</v>
      </c>
      <c r="D9" s="6">
        <f ca="1">SUBTOTAL(109,flow_9[Operations])</f>
        <v>1751.5</v>
      </c>
      <c r="E9" s="6">
        <f ca="1">SUBTOTAL(109,flow_9[Closing balance])</f>
        <v>5160.5</v>
      </c>
      <c r="J9" t="s">
        <v>23</v>
      </c>
      <c r="K9" s="6">
        <f ca="1">SUMIFS(operations[Amount],operations[Month],$B$11,operations[Category],expenses_8[[#This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SUMIFS(operations[Amount],operations[Month],$B$11,operations[Category],expenses_8[[#This Row],[Category]])</f>
        <v>-150</v>
      </c>
    </row>
    <row r="11" spans="1:11" x14ac:dyDescent="0.25">
      <c r="A11" s="1" t="s">
        <v>6</v>
      </c>
      <c r="B11" t="str" cm="1">
        <f t="array" aca="1" ref="B11" ca="1">_xlfn.TEXTAFTER(CELL("filename",A1),"]")</f>
        <v>9</v>
      </c>
      <c r="J11" t="s">
        <v>38</v>
      </c>
      <c r="K11" s="6">
        <f ca="1">SUBTOTAL(109,expenses_8[Total])</f>
        <v>-2748.5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SUMIFS(operations[Amount],operations[Month],$B$11,operations[Type],balance_9[[#This Row],[Type]])</f>
        <v>-2748.5</v>
      </c>
    </row>
    <row r="15" spans="1:11" x14ac:dyDescent="0.25">
      <c r="A15" t="s">
        <v>33</v>
      </c>
      <c r="B15" s="6">
        <f ca="1">SUMIFS(operations[Amount],operations[Month],$B$11,operations[Type],balance_9[[#This Row],[Type]])</f>
        <v>4500</v>
      </c>
    </row>
    <row r="16" spans="1:11" x14ac:dyDescent="0.25">
      <c r="A16" t="s">
        <v>34</v>
      </c>
      <c r="B16" s="6">
        <f ca="1">SUMIFS(operations[Amount],operations[Month],$B$11,operations[Type],balance_9[[#This Row],[Type]])</f>
        <v>0</v>
      </c>
    </row>
    <row r="17" spans="1:2" x14ac:dyDescent="0.25">
      <c r="A17" t="s">
        <v>38</v>
      </c>
      <c r="B17" s="6">
        <f ca="1">SUBTOTAL(109,balance_9[Total])</f>
        <v>1751.5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5CE8-B929-4335-8580-96430F1F0198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548.5</v>
      </c>
      <c r="D2" s="6">
        <f ca="1">SUMIFS(operations[Amount],operations[Bank],flow_10[[#This Row],[Bank]],operations[Product],flow_10[[#This Row],[Product]],operations[Month],$B$11)</f>
        <v>0</v>
      </c>
      <c r="E2" s="6">
        <f ca="1">flow_10[[#This Row],[Opening balance]]+flow_10[[#This Row],[Operations]]</f>
        <v>548.5</v>
      </c>
      <c r="G2" t="s">
        <v>25</v>
      </c>
      <c r="H2" s="6">
        <f ca="1">SUMIFS(operations[Amount],operations[Month],$B$11,operations[Category],incomes_10[[#This Row],[Category]])</f>
        <v>0</v>
      </c>
      <c r="J2" t="s">
        <v>18</v>
      </c>
      <c r="K2" s="6">
        <f ca="1">SUMIFS(operations[Amount],operations[Month],$B$11,operations[Category],expenses_10[[#This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SUMIFS(operations[Amount],operations[Bank],flow_10[[#This Row],[Bank]],operations[Product],flow_10[[#This Row],[Product]],operations[Month],$B$11)</f>
        <v>0</v>
      </c>
      <c r="E3" s="6">
        <f ca="1">flow_10[[#This Row],[Opening balance]]+flow_10[[#This Row],[Operations]]</f>
        <v>10.5</v>
      </c>
      <c r="G3" t="s">
        <v>28</v>
      </c>
      <c r="H3" s="6">
        <f ca="1">SUMIFS(operations[Amount],operations[Month],$B$11,operations[Category],incomes_10[[#This Row],[Category]])</f>
        <v>0</v>
      </c>
      <c r="J3" t="s">
        <v>22</v>
      </c>
      <c r="K3" s="6">
        <f ca="1">SUMIFS(operations[Amount],operations[Month],$B$11,operations[Category],expenses_10[[#This Row],[Category]])</f>
        <v>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SUMIFS(operations[Amount],operations[Bank],flow_10[[#This Row],[Bank]],operations[Product],flow_10[[#This Row],[Product]],operations[Month],$B$11)</f>
        <v>1690</v>
      </c>
      <c r="E4" s="6">
        <f ca="1">flow_10[[#This Row],[Opening balance]]+flow_10[[#This Row],[Operations]]</f>
        <v>2290</v>
      </c>
      <c r="G4" t="s">
        <v>29</v>
      </c>
      <c r="H4" s="6">
        <f ca="1">SUMIFS(operations[Amount],operations[Month],$B$11,operations[Category],incomes_10[[#This Row],[Category]])</f>
        <v>0</v>
      </c>
      <c r="J4" t="s">
        <v>20</v>
      </c>
      <c r="K4" s="6">
        <f ca="1">SUMIFS(operations[Amount],operations[Month],$B$11,operations[Category],expenses_10[[#This Row],[Category]])</f>
        <v>-40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SUMIFS(operations[Amount],operations[Bank],flow_10[[#This Row],[Bank]],operations[Product],flow_10[[#This Row],[Product]],operations[Month],$B$11)</f>
        <v>-20</v>
      </c>
      <c r="E5" s="6">
        <f ca="1">flow_10[[#This Row],[Opening balance]]+flow_10[[#This Row],[Operations]]</f>
        <v>-20</v>
      </c>
      <c r="G5" t="s">
        <v>30</v>
      </c>
      <c r="H5" s="6">
        <f ca="1">SUMIFS(operations[Amount],operations[Month],$B$11,operations[Category],incomes_10[[#This Row],[Category]])</f>
        <v>0</v>
      </c>
      <c r="J5" t="s">
        <v>17</v>
      </c>
      <c r="K5" s="6">
        <f ca="1">SUMIFS(operations[Amount],operations[Month],$B$11,operations[Category],expenses_10[[#This Row],[Category]])</f>
        <v>-600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SUMIFS(operations[Amount],operations[Bank],flow_10[[#This Row],[Bank]],operations[Product],flow_10[[#This Row],[Product]],operations[Month],$B$11)</f>
        <v>0</v>
      </c>
      <c r="E6" s="6">
        <f ca="1">flow_10[[#This Row],[Opening balance]]+flow_10[[#This Row],[Operations]]</f>
        <v>2000</v>
      </c>
      <c r="G6" t="s">
        <v>26</v>
      </c>
      <c r="H6" s="6">
        <f ca="1">SUMIFS(operations[Amount],operations[Month],$B$11,operations[Category],incomes_10[[#This Row],[Category]])</f>
        <v>4500</v>
      </c>
      <c r="J6" t="s">
        <v>21</v>
      </c>
      <c r="K6" s="6">
        <f ca="1">SUMIFS(operations[Amount],operations[Month],$B$11,operations[Category],expenses_10[[#This Row],[Category]])</f>
        <v>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SUMIFS(operations[Amount],operations[Bank],flow_10[[#This Row],[Bank]],operations[Product],flow_10[[#This Row],[Product]],operations[Month],$B$11)</f>
        <v>0</v>
      </c>
      <c r="E7" s="6">
        <f ca="1">flow_10[[#This Row],[Opening balance]]+flow_10[[#This Row],[Operations]]</f>
        <v>200</v>
      </c>
      <c r="G7" t="s">
        <v>27</v>
      </c>
      <c r="H7" s="6">
        <f ca="1">SUMIFS(operations[Amount],operations[Month],$B$11,operations[Category],incomes_10[[#This Row],[Category]])</f>
        <v>0</v>
      </c>
      <c r="J7" t="s">
        <v>19</v>
      </c>
      <c r="K7" s="6">
        <f ca="1">SUMIFS(operations[Amount],operations[Month],$B$11,operations[Category],expenses_10[[#This Row],[Category]])</f>
        <v>-40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SUMIFS(operations[Amount],operations[Bank],flow_10[[#This Row],[Bank]],operations[Product],flow_10[[#This Row],[Product]],operations[Month],$B$11)</f>
        <v>0</v>
      </c>
      <c r="E8" s="6">
        <f ca="1">flow_10[[#This Row],[Opening balance]]+flow_10[[#This Row],[Operations]]</f>
        <v>30</v>
      </c>
      <c r="G8" t="s">
        <v>38</v>
      </c>
      <c r="H8" s="6">
        <f ca="1">SUBTOTAL(109,incomes_10[Total])</f>
        <v>4500</v>
      </c>
      <c r="J8" t="s">
        <v>24</v>
      </c>
      <c r="K8" s="6">
        <f ca="1">SUMIFS(operations[Amount],operations[Month],$B$11,operations[Category],expenses_10[[#This Row],[Category]])</f>
        <v>0</v>
      </c>
    </row>
    <row r="9" spans="1:11" x14ac:dyDescent="0.25">
      <c r="A9" s="1" t="s">
        <v>38</v>
      </c>
      <c r="B9" s="1"/>
      <c r="C9" s="6">
        <f ca="1">SUBTOTAL(109,flow_10[Opening balance])</f>
        <v>3389</v>
      </c>
      <c r="D9" s="6">
        <f ca="1">SUBTOTAL(109,flow_10[Operations])</f>
        <v>1670</v>
      </c>
      <c r="E9" s="6">
        <f ca="1">SUBTOTAL(109,flow_10[Closing balance])</f>
        <v>5059</v>
      </c>
      <c r="J9" t="s">
        <v>23</v>
      </c>
      <c r="K9" s="6">
        <f ca="1">SUMIFS(operations[Amount],operations[Month],$B$11,operations[Category],expenses_10[[#This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SUMIFS(operations[Amount],operations[Month],$B$11,operations[Category],expenses_10[[#This Row],[Category]])</f>
        <v>-150</v>
      </c>
    </row>
    <row r="11" spans="1:11" x14ac:dyDescent="0.25">
      <c r="A11" s="1" t="s">
        <v>6</v>
      </c>
      <c r="B11" t="str" cm="1">
        <f t="array" aca="1" ref="B11" ca="1">_xlfn.TEXTAFTER(CELL("filename",A1),"]")</f>
        <v>10</v>
      </c>
      <c r="J11" t="s">
        <v>38</v>
      </c>
      <c r="K11" s="6">
        <f ca="1">SUBTOTAL(109,expenses_10[Total])</f>
        <v>-2830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SUMIFS(operations[Amount],operations[Month],$B$11,operations[Type],balance_10[[#This Row],[Type]])</f>
        <v>-2830</v>
      </c>
    </row>
    <row r="15" spans="1:11" x14ac:dyDescent="0.25">
      <c r="A15" t="s">
        <v>33</v>
      </c>
      <c r="B15" s="6">
        <f ca="1">SUMIFS(operations[Amount],operations[Month],$B$11,operations[Type],balance_10[[#This Row],[Type]])</f>
        <v>4500</v>
      </c>
    </row>
    <row r="16" spans="1:11" x14ac:dyDescent="0.25">
      <c r="A16" t="s">
        <v>34</v>
      </c>
      <c r="B16" s="6">
        <f ca="1">SUMIFS(operations[Amount],operations[Month],$B$11,operations[Type],balance_10[[#This Row],[Type]])</f>
        <v>0</v>
      </c>
    </row>
    <row r="17" spans="1:2" x14ac:dyDescent="0.25">
      <c r="A17" t="s">
        <v>38</v>
      </c>
      <c r="B17" s="6">
        <f ca="1">SUBTOTAL(109,balance_10[Total])</f>
        <v>1670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F3A2-9DB3-4460-929A-C2570B0B1CA1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548.5</v>
      </c>
      <c r="D2" s="6">
        <f ca="1">SUMIFS(operations[Amount],operations[Bank],flow_11[[#This Row],[Bank]],operations[Product],flow_11[[#This Row],[Product]],operations[Month],$B$11)</f>
        <v>0</v>
      </c>
      <c r="E2" s="6">
        <f ca="1">flow_11[[#This Row],[Opening balance]]+flow_11[[#This Row],[Operations]]</f>
        <v>548.5</v>
      </c>
      <c r="G2" t="s">
        <v>25</v>
      </c>
      <c r="H2" s="6">
        <f ca="1">SUMIFS(operations[Amount],operations[Month],$B$11,operations[Category],incomes_11[[#This Row],[Category]])</f>
        <v>0</v>
      </c>
      <c r="J2" t="s">
        <v>18</v>
      </c>
      <c r="K2" s="6">
        <f ca="1">SUMIFS(operations[Amount],operations[Month],$B$11,operations[Category],expenses_11[[#This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SUMIFS(operations[Amount],operations[Bank],flow_11[[#This Row],[Bank]],operations[Product],flow_11[[#This Row],[Product]],operations[Month],$B$11)</f>
        <v>0</v>
      </c>
      <c r="E3" s="6">
        <f ca="1">flow_11[[#This Row],[Opening balance]]+flow_11[[#This Row],[Operations]]</f>
        <v>10.5</v>
      </c>
      <c r="G3" t="s">
        <v>28</v>
      </c>
      <c r="H3" s="6">
        <f ca="1">SUMIFS(operations[Amount],operations[Month],$B$11,operations[Category],incomes_11[[#This Row],[Category]])</f>
        <v>0</v>
      </c>
      <c r="J3" t="s">
        <v>22</v>
      </c>
      <c r="K3" s="6">
        <f ca="1">SUMIFS(operations[Amount],operations[Month],$B$11,operations[Category],expenses_11[[#This Row],[Category]])</f>
        <v>-158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SUMIFS(operations[Amount],operations[Bank],flow_11[[#This Row],[Bank]],operations[Product],flow_11[[#This Row],[Product]],operations[Month],$B$11)</f>
        <v>960</v>
      </c>
      <c r="E4" s="6">
        <f ca="1">flow_11[[#This Row],[Opening balance]]+flow_11[[#This Row],[Operations]]</f>
        <v>1560</v>
      </c>
      <c r="G4" t="s">
        <v>29</v>
      </c>
      <c r="H4" s="6">
        <f ca="1">SUMIFS(operations[Amount],operations[Month],$B$11,operations[Category],incomes_11[[#This Row],[Category]])</f>
        <v>400</v>
      </c>
      <c r="J4" t="s">
        <v>20</v>
      </c>
      <c r="K4" s="6">
        <f ca="1">SUMIFS(operations[Amount],operations[Month],$B$11,operations[Category],expenses_11[[#This Row],[Category]])</f>
        <v>-214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SUMIFS(operations[Amount],operations[Bank],flow_11[[#This Row],[Bank]],operations[Product],flow_11[[#This Row],[Product]],operations[Month],$B$11)</f>
        <v>40</v>
      </c>
      <c r="E5" s="6">
        <f ca="1">flow_11[[#This Row],[Opening balance]]+flow_11[[#This Row],[Operations]]</f>
        <v>40</v>
      </c>
      <c r="G5" t="s">
        <v>30</v>
      </c>
      <c r="H5" s="6">
        <f ca="1">SUMIFS(operations[Amount],operations[Month],$B$11,operations[Category],incomes_11[[#This Row],[Category]])</f>
        <v>0</v>
      </c>
      <c r="J5" t="s">
        <v>17</v>
      </c>
      <c r="K5" s="6">
        <f ca="1">SUMIFS(operations[Amount],operations[Month],$B$11,operations[Category],expenses_11[[#This Row],[Category]])</f>
        <v>-506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SUMIFS(operations[Amount],operations[Bank],flow_11[[#This Row],[Bank]],operations[Product],flow_11[[#This Row],[Product]],operations[Month],$B$11)</f>
        <v>0</v>
      </c>
      <c r="E6" s="6">
        <f ca="1">flow_11[[#This Row],[Opening balance]]+flow_11[[#This Row],[Operations]]</f>
        <v>2000</v>
      </c>
      <c r="G6" t="s">
        <v>26</v>
      </c>
      <c r="H6" s="6">
        <f ca="1">SUMIFS(operations[Amount],operations[Month],$B$11,operations[Category],incomes_11[[#This Row],[Category]])</f>
        <v>4500</v>
      </c>
      <c r="J6" t="s">
        <v>21</v>
      </c>
      <c r="K6" s="6">
        <f ca="1">SUMIFS(operations[Amount],operations[Month],$B$11,operations[Category],expenses_11[[#This Row],[Category]])</f>
        <v>-133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SUMIFS(operations[Amount],operations[Bank],flow_11[[#This Row],[Bank]],operations[Product],flow_11[[#This Row],[Product]],operations[Month],$B$11)</f>
        <v>0</v>
      </c>
      <c r="E7" s="6">
        <f ca="1">flow_11[[#This Row],[Opening balance]]+flow_11[[#This Row],[Operations]]</f>
        <v>200</v>
      </c>
      <c r="G7" t="s">
        <v>27</v>
      </c>
      <c r="H7" s="6">
        <f ca="1">SUMIFS(operations[Amount],operations[Month],$B$11,operations[Category],incomes_11[[#This Row],[Category]])</f>
        <v>0</v>
      </c>
      <c r="J7" t="s">
        <v>19</v>
      </c>
      <c r="K7" s="6">
        <f ca="1">SUMIFS(operations[Amount],operations[Month],$B$11,operations[Category],expenses_11[[#This Row],[Category]])</f>
        <v>-47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SUMIFS(operations[Amount],operations[Bank],flow_11[[#This Row],[Bank]],operations[Product],flow_11[[#This Row],[Product]],operations[Month],$B$11)</f>
        <v>400</v>
      </c>
      <c r="E8" s="6">
        <f ca="1">flow_11[[#This Row],[Opening balance]]+flow_11[[#This Row],[Operations]]</f>
        <v>430</v>
      </c>
      <c r="G8" t="s">
        <v>38</v>
      </c>
      <c r="H8" s="6">
        <f ca="1">SUBTOTAL(109,incomes_11[Total])</f>
        <v>4900</v>
      </c>
      <c r="J8" t="s">
        <v>24</v>
      </c>
      <c r="K8" s="6">
        <f ca="1">SUMIFS(operations[Amount],operations[Month],$B$11,operations[Category],expenses_11[[#This Row],[Category]])</f>
        <v>-234</v>
      </c>
    </row>
    <row r="9" spans="1:11" x14ac:dyDescent="0.25">
      <c r="A9" s="1" t="s">
        <v>38</v>
      </c>
      <c r="B9" s="1"/>
      <c r="C9" s="6">
        <f ca="1">SUBTOTAL(109,flow_11[Opening balance])</f>
        <v>3389</v>
      </c>
      <c r="D9" s="6">
        <f ca="1">SUBTOTAL(109,flow_11[Operations])</f>
        <v>1400</v>
      </c>
      <c r="E9" s="6">
        <f ca="1">SUBTOTAL(109,flow_11[Closing balance])</f>
        <v>4789</v>
      </c>
      <c r="J9" t="s">
        <v>23</v>
      </c>
      <c r="K9" s="6">
        <f ca="1">SUMIFS(operations[Amount],operations[Month],$B$11,operations[Category],expenses_11[[#This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SUMIFS(operations[Amount],operations[Month],$B$11,operations[Category],expenses_11[[#This Row],[Category]])</f>
        <v>-208</v>
      </c>
    </row>
    <row r="11" spans="1:11" x14ac:dyDescent="0.25">
      <c r="A11" s="1" t="s">
        <v>6</v>
      </c>
      <c r="B11" t="str" cm="1">
        <f t="array" aca="1" ref="B11" ca="1">_xlfn.TEXTAFTER(CELL("filename",A1),"]")</f>
        <v>11</v>
      </c>
      <c r="J11" t="s">
        <v>38</v>
      </c>
      <c r="K11" s="6">
        <f ca="1">SUBTOTAL(109,expenses_11[Total])</f>
        <v>-3500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SUMIFS(operations[Amount],operations[Month],$B$11,operations[Type],balance_11[[#This Row],[Type]])</f>
        <v>-3500</v>
      </c>
    </row>
    <row r="15" spans="1:11" x14ac:dyDescent="0.25">
      <c r="A15" t="s">
        <v>33</v>
      </c>
      <c r="B15" s="6">
        <f ca="1">SUMIFS(operations[Amount],operations[Month],$B$11,operations[Type],balance_11[[#This Row],[Type]])</f>
        <v>4900</v>
      </c>
    </row>
    <row r="16" spans="1:11" x14ac:dyDescent="0.25">
      <c r="A16" t="s">
        <v>34</v>
      </c>
      <c r="B16" s="6">
        <f ca="1">SUMIFS(operations[Amount],operations[Month],$B$11,operations[Type],balance_11[[#This Row],[Type]])</f>
        <v>0</v>
      </c>
    </row>
    <row r="17" spans="1:2" x14ac:dyDescent="0.25">
      <c r="A17" t="s">
        <v>38</v>
      </c>
      <c r="B17" s="6">
        <f ca="1">SUBTOTAL(109,balance_11[Total])</f>
        <v>1400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7006-78EC-4E7E-A1C5-EAF85D69428A}">
  <dimension ref="A1:K17"/>
  <sheetViews>
    <sheetView workbookViewId="0">
      <selection activeCell="C3" sqref="C3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35</v>
      </c>
      <c r="D1" s="6" t="s">
        <v>36</v>
      </c>
      <c r="E1" s="6" t="s">
        <v>37</v>
      </c>
      <c r="G1" t="s">
        <v>3</v>
      </c>
      <c r="H1" s="6" t="s">
        <v>38</v>
      </c>
      <c r="J1" t="s">
        <v>3</v>
      </c>
      <c r="K1" s="6" t="s">
        <v>38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548.5</v>
      </c>
      <c r="D2" s="6">
        <f ca="1">SUMIFS(operations[Amount],operations[Bank],flow_12[[#This Row],[Bank]],operations[Product],flow_12[[#This Row],[Product]],operations[Month],$B$11)</f>
        <v>0</v>
      </c>
      <c r="E2" s="6">
        <f ca="1">flow_12[[#This Row],[Opening balance]]+flow_12[[#This Row],[Operations]]</f>
        <v>548.5</v>
      </c>
      <c r="G2" t="s">
        <v>25</v>
      </c>
      <c r="H2" s="6">
        <f ca="1">SUMIFS(operations[Amount],operations[Month],$B$11,operations[Category],incomes_12[[#This Row],[Category]])</f>
        <v>0</v>
      </c>
      <c r="J2" t="s">
        <v>18</v>
      </c>
      <c r="K2" s="6">
        <f ca="1">SUMIFS(operations[Amount],operations[Month],$B$11,operations[Category],expenses_12[[#This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SUMIFS(operations[Amount],operations[Bank],flow_12[[#This Row],[Bank]],operations[Product],flow_12[[#This Row],[Product]],operations[Month],$B$11)</f>
        <v>0</v>
      </c>
      <c r="E3" s="6">
        <f ca="1">flow_12[[#This Row],[Opening balance]]+flow_12[[#This Row],[Operations]]</f>
        <v>10.5</v>
      </c>
      <c r="G3" t="s">
        <v>28</v>
      </c>
      <c r="H3" s="6">
        <f ca="1">SUMIFS(operations[Amount],operations[Month],$B$11,operations[Category],incomes_12[[#This Row],[Category]])</f>
        <v>0</v>
      </c>
      <c r="J3" t="s">
        <v>22</v>
      </c>
      <c r="K3" s="6">
        <f ca="1">SUMIFS(operations[Amount],operations[Month],$B$11,operations[Category],expenses_12[[#This Row],[Category]])</f>
        <v>-120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SUMIFS(operations[Amount],operations[Bank],flow_12[[#This Row],[Bank]],operations[Product],flow_12[[#This Row],[Product]],operations[Month],$B$11)</f>
        <v>1320</v>
      </c>
      <c r="E4" s="6">
        <f ca="1">flow_12[[#This Row],[Opening balance]]+flow_12[[#This Row],[Operations]]</f>
        <v>1920</v>
      </c>
      <c r="G4" t="s">
        <v>29</v>
      </c>
      <c r="H4" s="6">
        <f ca="1">SUMIFS(operations[Amount],operations[Month],$B$11,operations[Category],incomes_12[[#This Row],[Category]])</f>
        <v>2000</v>
      </c>
      <c r="J4" t="s">
        <v>20</v>
      </c>
      <c r="K4" s="6">
        <f ca="1">SUMIFS(operations[Amount],operations[Month],$B$11,operations[Category],expenses_12[[#This Row],[Category]])</f>
        <v>-450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SUMIFS(operations[Amount],operations[Bank],flow_12[[#This Row],[Bank]],operations[Product],flow_12[[#This Row],[Product]],operations[Month],$B$11)</f>
        <v>0</v>
      </c>
      <c r="E5" s="6">
        <f ca="1">flow_12[[#This Row],[Opening balance]]+flow_12[[#This Row],[Operations]]</f>
        <v>0</v>
      </c>
      <c r="G5" t="s">
        <v>30</v>
      </c>
      <c r="H5" s="6">
        <f ca="1">SUMIFS(operations[Amount],operations[Month],$B$11,operations[Category],incomes_12[[#This Row],[Category]])</f>
        <v>0</v>
      </c>
      <c r="J5" t="s">
        <v>17</v>
      </c>
      <c r="K5" s="6">
        <f ca="1">SUMIFS(operations[Amount],operations[Month],$B$11,operations[Category],expenses_12[[#This Row],[Category]])</f>
        <v>-700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SUMIFS(operations[Amount],operations[Bank],flow_12[[#This Row],[Bank]],operations[Product],flow_12[[#This Row],[Product]],operations[Month],$B$11)</f>
        <v>0</v>
      </c>
      <c r="E6" s="6">
        <f ca="1">flow_12[[#This Row],[Opening balance]]+flow_12[[#This Row],[Operations]]</f>
        <v>2000</v>
      </c>
      <c r="G6" t="s">
        <v>26</v>
      </c>
      <c r="H6" s="6">
        <f ca="1">SUMIFS(operations[Amount],operations[Month],$B$11,operations[Category],incomes_12[[#This Row],[Category]])</f>
        <v>4500</v>
      </c>
      <c r="J6" t="s">
        <v>21</v>
      </c>
      <c r="K6" s="6">
        <f ca="1">SUMIFS(operations[Amount],operations[Month],$B$11,operations[Category],expenses_12[[#This Row],[Category]])</f>
        <v>-10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SUMIFS(operations[Amount],operations[Bank],flow_12[[#This Row],[Bank]],operations[Product],flow_12[[#This Row],[Product]],operations[Month],$B$11)</f>
        <v>0</v>
      </c>
      <c r="E7" s="6">
        <f ca="1">flow_12[[#This Row],[Opening balance]]+flow_12[[#This Row],[Operations]]</f>
        <v>200</v>
      </c>
      <c r="G7" t="s">
        <v>27</v>
      </c>
      <c r="H7" s="6">
        <f ca="1">SUMIFS(operations[Amount],operations[Month],$B$11,operations[Category],incomes_12[[#This Row],[Category]])</f>
        <v>0</v>
      </c>
      <c r="J7" t="s">
        <v>19</v>
      </c>
      <c r="K7" s="6">
        <f ca="1">SUMIFS(operations[Amount],operations[Month],$B$11,operations[Category],expenses_12[[#This Row],[Category]])</f>
        <v>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SUMIFS(operations[Amount],operations[Bank],flow_12[[#This Row],[Bank]],operations[Product],flow_12[[#This Row],[Product]],operations[Month],$B$11)</f>
        <v>1100</v>
      </c>
      <c r="E8" s="6">
        <f ca="1">flow_12[[#This Row],[Opening balance]]+flow_12[[#This Row],[Operations]]</f>
        <v>1130</v>
      </c>
      <c r="G8" t="s">
        <v>38</v>
      </c>
      <c r="H8" s="6">
        <f ca="1">SUBTOTAL(109,incomes_12[Total])</f>
        <v>6500</v>
      </c>
      <c r="J8" t="s">
        <v>24</v>
      </c>
      <c r="K8" s="6">
        <f ca="1">SUMIFS(operations[Amount],operations[Month],$B$11,operations[Category],expenses_12[[#This Row],[Category]])</f>
        <v>-700</v>
      </c>
    </row>
    <row r="9" spans="1:11" x14ac:dyDescent="0.25">
      <c r="A9" s="1" t="s">
        <v>38</v>
      </c>
      <c r="B9" s="1"/>
      <c r="C9" s="6">
        <f ca="1">SUBTOTAL(109,flow_12[Opening balance])</f>
        <v>3389</v>
      </c>
      <c r="D9" s="6">
        <f ca="1">SUBTOTAL(109,flow_12[Operations])</f>
        <v>2420</v>
      </c>
      <c r="E9" s="6">
        <f ca="1">SUBTOTAL(109,flow_12[Closing balance])</f>
        <v>5809</v>
      </c>
      <c r="J9" t="s">
        <v>23</v>
      </c>
      <c r="K9" s="6">
        <f ca="1">SUMIFS(operations[Amount],operations[Month],$B$11,operations[Category],expenses_12[[#This Row],[Category]])</f>
        <v>-100</v>
      </c>
    </row>
    <row r="10" spans="1:11" x14ac:dyDescent="0.25">
      <c r="J10" t="s">
        <v>16</v>
      </c>
      <c r="K10" s="6">
        <f ca="1">SUMIFS(operations[Amount],operations[Month],$B$11,operations[Category],expenses_12[[#This Row],[Category]])</f>
        <v>0</v>
      </c>
    </row>
    <row r="11" spans="1:11" x14ac:dyDescent="0.25">
      <c r="A11" s="1" t="s">
        <v>6</v>
      </c>
      <c r="B11" t="str" cm="1">
        <f t="array" aca="1" ref="B11" ca="1">_xlfn.TEXTAFTER(CELL("filename",A1),"]")</f>
        <v>12</v>
      </c>
      <c r="J11" t="s">
        <v>38</v>
      </c>
      <c r="K11" s="6">
        <f ca="1">SUBTOTAL(109,expenses_12[Total])</f>
        <v>-4080</v>
      </c>
    </row>
    <row r="13" spans="1:11" x14ac:dyDescent="0.25">
      <c r="A13" t="s">
        <v>4</v>
      </c>
      <c r="B13" s="6" t="s">
        <v>38</v>
      </c>
    </row>
    <row r="14" spans="1:11" x14ac:dyDescent="0.25">
      <c r="A14" t="s">
        <v>32</v>
      </c>
      <c r="B14" s="6">
        <f ca="1">SUMIFS(operations[Amount],operations[Month],$B$11,operations[Type],balance_12[[#This Row],[Type]])</f>
        <v>-4080</v>
      </c>
    </row>
    <row r="15" spans="1:11" x14ac:dyDescent="0.25">
      <c r="A15" t="s">
        <v>33</v>
      </c>
      <c r="B15" s="6">
        <f ca="1">SUMIFS(operations[Amount],operations[Month],$B$11,operations[Type],balance_12[[#This Row],[Type]])</f>
        <v>6500</v>
      </c>
    </row>
    <row r="16" spans="1:11" x14ac:dyDescent="0.25">
      <c r="A16" t="s">
        <v>34</v>
      </c>
      <c r="B16" s="6">
        <f ca="1">SUMIFS(operations[Amount],operations[Month],$B$11,operations[Type],balance_12[[#This Row],[Type]])</f>
        <v>0</v>
      </c>
    </row>
    <row r="17" spans="1:2" x14ac:dyDescent="0.25">
      <c r="A17" t="s">
        <v>38</v>
      </c>
      <c r="B17" s="6">
        <f ca="1">SUBTOTAL(109,balance_12[Total])</f>
        <v>2420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operations</vt:lpstr>
      <vt:lpstr>Dicionary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2025-12-05T13:28:24Z</dcterms:modified>
</cp:coreProperties>
</file>