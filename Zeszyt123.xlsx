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-A301-21\Desktop\"/>
    </mc:Choice>
  </mc:AlternateContent>
  <xr:revisionPtr revIDLastSave="0" documentId="8_{15A102A1-3DDB-4FE5-865E-154F574BD3BD}" xr6:coauthVersionLast="47" xr6:coauthVersionMax="47" xr10:uidLastSave="{00000000-0000-0000-0000-000000000000}"/>
  <bookViews>
    <workbookView xWindow="-120" yWindow="-120" windowWidth="29040" windowHeight="15840" xr2:uid="{E5C36CAE-3325-4353-AC0D-E4E8A856175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I22" i="1"/>
  <c r="I23" i="1"/>
  <c r="I24" i="1"/>
  <c r="I25" i="1"/>
  <c r="I26" i="1"/>
  <c r="I27" i="1"/>
  <c r="A2" i="1" a="1"/>
  <c r="A2" i="1" s="1"/>
  <c r="L13" i="1" s="1"/>
  <c r="H14" i="1" a="1"/>
  <c r="C14" i="1" a="1"/>
  <c r="H13" i="1" a="1"/>
  <c r="C13" i="1" a="1"/>
  <c r="H14" i="1" l="1"/>
  <c r="I14" i="1" s="1"/>
  <c r="C14" i="1"/>
  <c r="D14" i="1" s="1"/>
  <c r="H13" i="1"/>
  <c r="I13" i="1" s="1"/>
  <c r="C13" i="1"/>
  <c r="D13" i="1" s="1"/>
  <c r="H15" i="1" a="1"/>
  <c r="H21" i="1" a="1"/>
  <c r="H20" i="1" a="1"/>
  <c r="H19" i="1" a="1"/>
  <c r="H18" i="1" a="1"/>
  <c r="H17" i="1" a="1"/>
  <c r="H16" i="1" a="1"/>
  <c r="C21" i="1" a="1"/>
  <c r="C26" i="1" a="1"/>
  <c r="C18" i="1" a="1"/>
  <c r="C17" i="1" a="1"/>
  <c r="C22" i="1" a="1"/>
  <c r="C23" i="1" a="1"/>
  <c r="C15" i="1" a="1"/>
  <c r="C20" i="1" a="1"/>
  <c r="C27" i="1" a="1"/>
  <c r="C19" i="1" a="1"/>
  <c r="C24" i="1" a="1"/>
  <c r="C16" i="1" a="1"/>
  <c r="C25" i="1" a="1"/>
  <c r="H16" i="1" l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15" i="1"/>
  <c r="I15" i="1" s="1"/>
  <c r="C25" i="1"/>
  <c r="D25" i="1" s="1"/>
  <c r="C16" i="1"/>
  <c r="D16" i="1" s="1"/>
  <c r="C24" i="1"/>
  <c r="D24" i="1" s="1"/>
  <c r="C19" i="1"/>
  <c r="D19" i="1" s="1"/>
  <c r="C27" i="1"/>
  <c r="D27" i="1" s="1"/>
  <c r="C20" i="1"/>
  <c r="D20" i="1" s="1"/>
  <c r="C15" i="1"/>
  <c r="D15" i="1" s="1"/>
  <c r="C23" i="1"/>
  <c r="D23" i="1" s="1"/>
  <c r="C22" i="1"/>
  <c r="D22" i="1" s="1"/>
  <c r="C17" i="1"/>
  <c r="D17" i="1" s="1"/>
  <c r="C18" i="1"/>
  <c r="D18" i="1" s="1"/>
  <c r="C26" i="1"/>
  <c r="D26" i="1" s="1"/>
  <c r="C21" i="1"/>
  <c r="D21" i="1" s="1"/>
  <c r="B28" i="1" l="1"/>
  <c r="W28" i="1"/>
  <c r="G28" i="1"/>
  <c r="N28" i="1"/>
  <c r="M28" i="1"/>
  <c r="V28" i="1"/>
  <c r="S28" i="1"/>
  <c r="R28" i="1"/>
  <c r="H28" i="1" l="1"/>
  <c r="C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<sst xmlns="http://schemas.openxmlformats.org/spreadsheetml/2006/main" count="67" uniqueCount="49">
  <si>
    <t>sum</t>
  </si>
  <si>
    <t>suma</t>
  </si>
  <si>
    <t>Rent</t>
  </si>
  <si>
    <t>Month</t>
  </si>
  <si>
    <t>Planned</t>
  </si>
  <si>
    <t>Actual</t>
  </si>
  <si>
    <t>Left</t>
  </si>
  <si>
    <t>Incomes</t>
  </si>
  <si>
    <t>Expenses</t>
  </si>
  <si>
    <t>Savings</t>
  </si>
  <si>
    <t>Balance</t>
  </si>
  <si>
    <t>Allowance</t>
  </si>
  <si>
    <t>Financial</t>
  </si>
  <si>
    <t>Gift</t>
  </si>
  <si>
    <t>Other incoms</t>
  </si>
  <si>
    <t>Salary</t>
  </si>
  <si>
    <t>Scholarship</t>
  </si>
  <si>
    <t>Clothing</t>
  </si>
  <si>
    <t>Entertainment</t>
  </si>
  <si>
    <t>Groceries</t>
  </si>
  <si>
    <t>Health&amp;Beauty</t>
  </si>
  <si>
    <t>Multimedia</t>
  </si>
  <si>
    <t>Other expences</t>
  </si>
  <si>
    <t>Studies</t>
  </si>
  <si>
    <t>Transportation</t>
  </si>
  <si>
    <t>Accomodation</t>
  </si>
  <si>
    <t>Electricity</t>
  </si>
  <si>
    <t>Gas</t>
  </si>
  <si>
    <t>Water</t>
  </si>
  <si>
    <t>Waste</t>
  </si>
  <si>
    <t>Phone</t>
  </si>
  <si>
    <t>Internet</t>
  </si>
  <si>
    <t>Source</t>
  </si>
  <si>
    <t>Expensess</t>
  </si>
  <si>
    <t>Category</t>
  </si>
  <si>
    <t>Bill</t>
  </si>
  <si>
    <t>Bills</t>
  </si>
  <si>
    <t>Service</t>
  </si>
  <si>
    <t>Subscriptions</t>
  </si>
  <si>
    <t>Netflix</t>
  </si>
  <si>
    <t>Spotify</t>
  </si>
  <si>
    <t>Storytel</t>
  </si>
  <si>
    <t>Chatgpt</t>
  </si>
  <si>
    <t>Aim</t>
  </si>
  <si>
    <t>Backup</t>
  </si>
  <si>
    <t>Travelling</t>
  </si>
  <si>
    <t>Hobby</t>
  </si>
  <si>
    <t>Rainy day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</si>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</sst>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zł&quot;_-;\-* #,##0.00\ &quot;zł&quot;_-;_-* &quot;-&quot;??\ &quot;zł&quot;_-;_-@_-"/>
    <numFmt numFmtId="165" formatCode="#,##0.00\ &quot;zł&quot;"/>
  </numFmts>
  <fonts count="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Ebrima"/>
      <charset val="238"/>
    </font>
    <font>
      <sz val="11"/>
      <color theme="1"/>
      <name val="Ebrima"/>
      <charset val="238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165" fontId="0" fillId="0" borderId="0" xfId="0" applyNumberFormat="1"/>
    <xf numFmtId="0" fontId="0" fillId="9" borderId="1" xfId="0" applyFill="1" applyBorder="1"/>
    <xf numFmtId="0" fontId="3" fillId="0" borderId="0" xfId="0" applyFont="1"/>
    <xf numFmtId="0" fontId="3" fillId="4" borderId="1" xfId="0" applyFont="1" applyFill="1" applyBorder="1"/>
    <xf numFmtId="0" fontId="3" fillId="7" borderId="1" xfId="0" applyFont="1" applyFill="1" applyBorder="1"/>
    <xf numFmtId="0" fontId="3" fillId="11" borderId="1" xfId="0" applyFont="1" applyFill="1" applyBorder="1"/>
    <xf numFmtId="0" fontId="3" fillId="14" borderId="1" xfId="0" applyFont="1" applyFill="1" applyBorder="1"/>
    <xf numFmtId="0" fontId="3" fillId="16" borderId="1" xfId="0" applyFont="1" applyFill="1" applyBorder="1"/>
    <xf numFmtId="0" fontId="3" fillId="2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2" borderId="1" xfId="0" applyFont="1" applyFill="1" applyBorder="1"/>
    <xf numFmtId="0" fontId="3" fillId="17" borderId="1" xfId="0" applyFont="1" applyFill="1" applyBorder="1"/>
    <xf numFmtId="164" fontId="3" fillId="17" borderId="1" xfId="1" applyFont="1" applyFill="1" applyBorder="1"/>
    <xf numFmtId="0" fontId="2" fillId="3" borderId="1" xfId="0" applyFont="1" applyFill="1" applyBorder="1"/>
    <xf numFmtId="164" fontId="2" fillId="3" borderId="1" xfId="1" applyFont="1" applyFill="1" applyBorder="1"/>
    <xf numFmtId="0" fontId="2" fillId="6" borderId="1" xfId="0" applyFont="1" applyFill="1" applyBorder="1"/>
    <xf numFmtId="164" fontId="2" fillId="6" borderId="1" xfId="1" applyFont="1" applyFill="1" applyBorder="1"/>
    <xf numFmtId="0" fontId="2" fillId="0" borderId="0" xfId="0" applyFont="1"/>
    <xf numFmtId="0" fontId="2" fillId="10" borderId="1" xfId="0" applyFont="1" applyFill="1" applyBorder="1"/>
    <xf numFmtId="164" fontId="2" fillId="10" borderId="1" xfId="1" applyFont="1" applyFill="1" applyBorder="1"/>
    <xf numFmtId="0" fontId="2" fillId="13" borderId="1" xfId="0" applyFont="1" applyFill="1" applyBorder="1"/>
    <xf numFmtId="164" fontId="2" fillId="13" borderId="1" xfId="1" applyFont="1" applyFill="1" applyBorder="1"/>
    <xf numFmtId="0" fontId="2" fillId="15" borderId="1" xfId="0" applyFont="1" applyFill="1" applyBorder="1"/>
    <xf numFmtId="164" fontId="2" fillId="15" borderId="1" xfId="1" applyFont="1" applyFill="1" applyBorder="1"/>
    <xf numFmtId="164" fontId="3" fillId="12" borderId="1" xfId="1" applyFont="1" applyFill="1" applyBorder="1"/>
    <xf numFmtId="164" fontId="3" fillId="9" borderId="1" xfId="1" applyFont="1" applyFill="1" applyBorder="1"/>
    <xf numFmtId="164" fontId="3" fillId="8" borderId="1" xfId="1" applyFont="1" applyFill="1" applyBorder="1"/>
    <xf numFmtId="0" fontId="3" fillId="8" borderId="2" xfId="0" applyFont="1" applyFill="1" applyBorder="1"/>
    <xf numFmtId="164" fontId="3" fillId="2" borderId="1" xfId="1" applyFont="1" applyFill="1" applyBorder="1"/>
    <xf numFmtId="0" fontId="0" fillId="2" borderId="0" xfId="0" applyFill="1"/>
    <xf numFmtId="0" fontId="3" fillId="5" borderId="1" xfId="0" applyFont="1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/>
    <xf numFmtId="0" fontId="0" fillId="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4" borderId="0" xfId="0" applyFont="1" applyFill="1" applyBorder="1"/>
    <xf numFmtId="164" fontId="2" fillId="3" borderId="0" xfId="1" applyFont="1" applyFill="1" applyBorder="1"/>
    <xf numFmtId="0" fontId="3" fillId="11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4" fontId="0" fillId="9" borderId="1" xfId="0" applyNumberFormat="1" applyFill="1" applyBorder="1"/>
  </cellXfs>
  <cellStyles count="2">
    <cellStyle name="Currency" xfId="1" builtinId="4"/>
    <cellStyle name="Normal" xfId="0" builtinId="0"/>
  </cellStyles>
  <dxfs count="1">
    <dxf>
      <font>
        <color theme="5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A9CF-7FC3-434E-879A-4CEC8ED98229}">
  <dimension ref="A1:W33"/>
  <sheetViews>
    <sheetView tabSelected="1" workbookViewId="0">
      <selection activeCell="F11" sqref="F11:H28"/>
    </sheetView>
  </sheetViews>
  <sheetFormatPr defaultRowHeight="14.25"/>
  <cols>
    <col min="1" max="1" width="13.75" customWidth="1"/>
    <col min="2" max="2" width="12.75" bestFit="1" customWidth="1"/>
    <col min="3" max="3" width="9.625" bestFit="1" customWidth="1"/>
    <col min="6" max="6" width="15" customWidth="1"/>
    <col min="7" max="7" width="12.75" bestFit="1" customWidth="1"/>
    <col min="11" max="12" width="13.875" customWidth="1"/>
    <col min="13" max="13" width="12.75" bestFit="1" customWidth="1"/>
    <col min="16" max="17" width="16.75" customWidth="1"/>
    <col min="18" max="18" width="11" bestFit="1" customWidth="1"/>
    <col min="21" max="21" width="13.125" customWidth="1"/>
  </cols>
  <sheetData>
    <row r="1" spans="1:23">
      <c r="A1" s="37" t="s">
        <v>3</v>
      </c>
      <c r="B1" s="37"/>
      <c r="C1" s="37"/>
      <c r="D1" s="35"/>
    </row>
    <row r="2" spans="1:23">
      <c r="A2" s="38" t="str" cm="1">
        <f t="array" aca="1" ref="A2" ca="1">RIGHT(CELL("filename",A1),LEN(CELL("filename",A1))-FIND("]",CELL("filename",A1)))</f>
        <v>Arkusz1</v>
      </c>
      <c r="B2" s="38"/>
      <c r="C2" s="38"/>
      <c r="D2" s="36"/>
    </row>
    <row r="4" spans="1:23">
      <c r="B4" s="33" t="s">
        <v>4</v>
      </c>
      <c r="C4" s="33" t="s">
        <v>5</v>
      </c>
      <c r="D4" s="33"/>
      <c r="E4" s="33" t="s">
        <v>6</v>
      </c>
    </row>
    <row r="5" spans="1:23">
      <c r="A5" s="33" t="s">
        <v>7</v>
      </c>
      <c r="B5" s="34"/>
      <c r="C5" s="34"/>
      <c r="D5" s="34"/>
      <c r="E5" s="34"/>
    </row>
    <row r="6" spans="1:23">
      <c r="A6" s="33" t="s">
        <v>8</v>
      </c>
      <c r="B6" s="34"/>
      <c r="C6" s="34"/>
      <c r="D6" s="34"/>
      <c r="E6" s="34"/>
    </row>
    <row r="7" spans="1:23">
      <c r="A7" s="33" t="s">
        <v>9</v>
      </c>
      <c r="B7" s="34"/>
      <c r="C7" s="34"/>
      <c r="D7" s="34"/>
      <c r="E7" s="34">
        <f>C7-B7</f>
        <v>0</v>
      </c>
    </row>
    <row r="9" spans="1:23">
      <c r="A9" s="33" t="s">
        <v>10</v>
      </c>
      <c r="B9" s="34"/>
      <c r="C9" s="34"/>
      <c r="D9" s="34"/>
      <c r="E9" s="34"/>
    </row>
    <row r="11" spans="1:23" ht="16.5">
      <c r="A11" s="39" t="s">
        <v>7</v>
      </c>
      <c r="B11" s="40"/>
      <c r="C11" s="40"/>
      <c r="D11" s="49"/>
      <c r="E11" s="3"/>
      <c r="F11" s="41" t="s">
        <v>33</v>
      </c>
      <c r="G11" s="42"/>
      <c r="H11" s="42"/>
      <c r="I11" s="32"/>
      <c r="J11" s="3"/>
      <c r="K11" s="43" t="s">
        <v>36</v>
      </c>
      <c r="L11" s="43"/>
      <c r="M11" s="44"/>
      <c r="N11" s="44"/>
      <c r="O11" s="3"/>
      <c r="P11" s="45" t="s">
        <v>38</v>
      </c>
      <c r="Q11" s="45"/>
      <c r="R11" s="46"/>
      <c r="S11" s="46"/>
      <c r="T11" s="3"/>
      <c r="U11" s="47" t="s">
        <v>9</v>
      </c>
      <c r="V11" s="48"/>
      <c r="W11" s="48"/>
    </row>
    <row r="12" spans="1:23" ht="16.5">
      <c r="A12" s="4" t="s">
        <v>32</v>
      </c>
      <c r="B12" s="4" t="s">
        <v>4</v>
      </c>
      <c r="C12" s="4" t="s">
        <v>5</v>
      </c>
      <c r="D12" s="50" t="s">
        <v>6</v>
      </c>
      <c r="E12" s="3"/>
      <c r="F12" s="5" t="s">
        <v>34</v>
      </c>
      <c r="G12" s="5" t="s">
        <v>4</v>
      </c>
      <c r="H12" s="5" t="s">
        <v>5</v>
      </c>
      <c r="I12" s="5" t="s">
        <v>6</v>
      </c>
      <c r="J12" s="3"/>
      <c r="K12" s="6" t="s">
        <v>35</v>
      </c>
      <c r="L12" s="52" t="s">
        <v>48</v>
      </c>
      <c r="M12" s="6" t="s">
        <v>4</v>
      </c>
      <c r="N12" s="6" t="s">
        <v>5</v>
      </c>
      <c r="O12" s="3"/>
      <c r="P12" s="7" t="s">
        <v>37</v>
      </c>
      <c r="Q12" s="53" t="s">
        <v>48</v>
      </c>
      <c r="R12" s="7" t="s">
        <v>4</v>
      </c>
      <c r="S12" s="7" t="s">
        <v>5</v>
      </c>
      <c r="T12" s="3"/>
      <c r="U12" s="8" t="s">
        <v>43</v>
      </c>
      <c r="V12" s="8" t="s">
        <v>4</v>
      </c>
      <c r="W12" s="8" t="s">
        <v>5</v>
      </c>
    </row>
    <row r="13" spans="1:23" ht="16.5">
      <c r="A13" s="31" t="s">
        <v>11</v>
      </c>
      <c r="B13" s="30">
        <v>2500</v>
      </c>
      <c r="C13" s="30" t="e" cm="1">
        <f t="array" aca="1" ref="C13" ca="1">_xlfn.XLOOKUP(A13,INDIRECT("'Finanse-wersja-ostatnia-Karolina-Gądor.xlsx'!incomes_"&amp;$A$2&amp;"[Category]"),INDIRECT("'Finanse-wersja-ostatnia-Karolina-Gądor.xlsx'!incomes_"&amp;$A$2&amp;"[Total]"),0,0,1)</f>
        <v>#REF!</v>
      </c>
      <c r="D13" s="30" t="e">
        <f ca="1">C13-B13</f>
        <v>#REF!</v>
      </c>
      <c r="E13" s="3"/>
      <c r="F13" s="10" t="s">
        <v>25</v>
      </c>
      <c r="G13" s="28">
        <v>1735</v>
      </c>
      <c r="H13" s="28" t="e" cm="1">
        <f t="array" aca="1" ref="H13" ca="1">-_xlfn.XLOOKUP(F13,INDIRECT("'Finanse-wersja-ostatnia-Karolina-Gądor.xlsx'!expenses_"&amp;$A$2&amp;"[Category]"),INDIRECT("'Finanse-wersja-ostatnia-Karolina-Gądor.xlsx'!expenses_"&amp;$A$2&amp;"[Total]"),0,0,1)</f>
        <v>#REF!</v>
      </c>
      <c r="I13" s="28" t="e">
        <f ca="1">G13-H13</f>
        <v>#REF!</v>
      </c>
      <c r="J13" s="3"/>
      <c r="K13" s="2" t="s">
        <v>2</v>
      </c>
      <c r="L13" s="54" t="e">
        <f ca="1">DATE(2025,$A$2,10)</f>
        <v>#VALUE!</v>
      </c>
      <c r="M13" s="27">
        <v>2200</v>
      </c>
      <c r="N13" s="27"/>
      <c r="O13" s="3"/>
      <c r="P13" s="12" t="s">
        <v>39</v>
      </c>
      <c r="Q13" s="12"/>
      <c r="R13" s="26">
        <v>33</v>
      </c>
      <c r="S13" s="26"/>
      <c r="T13" s="3"/>
      <c r="U13" s="13" t="s">
        <v>44</v>
      </c>
      <c r="V13" s="14"/>
      <c r="W13" s="14"/>
    </row>
    <row r="14" spans="1:23" ht="16.5">
      <c r="A14" s="9" t="s">
        <v>12</v>
      </c>
      <c r="B14" s="30">
        <v>300</v>
      </c>
      <c r="C14" s="30" t="e" cm="1">
        <f t="array" aca="1" ref="C14" ca="1">_xlfn.XLOOKUP(A14,INDIRECT("'Finanse-wersja-ostatnia-Karolina-Gądor.xlsx'!incomes_"&amp;$A$2&amp;"[Category]"),INDIRECT("'Finanse-wersja-ostatnia-Karolina-Gądor.xlsx'!incomes_"&amp;$A$2&amp;"[Total]"),0,0,1)</f>
        <v>#REF!</v>
      </c>
      <c r="D14" s="30" t="e">
        <f t="shared" ref="D14:D27" ca="1" si="0">C14-B14</f>
        <v>#REF!</v>
      </c>
      <c r="E14" s="3"/>
      <c r="F14" s="10" t="s">
        <v>17</v>
      </c>
      <c r="G14" s="28">
        <v>200</v>
      </c>
      <c r="H14" s="28" t="e" cm="1">
        <f t="array" aca="1" ref="H14" ca="1">-_xlfn.XLOOKUP(F14,INDIRECT("'Finanse-wersja-ostatnia-Karolina-Gądor.xlsx'!expenses_"&amp;$A$2&amp;"[Category]"),INDIRECT("'Finanse-wersja-ostatnia-Karolina-Gądor.xlsx'!expenses_"&amp;$A$2&amp;"[Total]"),0,0,1)</f>
        <v>#REF!</v>
      </c>
      <c r="I14" s="28" t="e">
        <f t="shared" ref="I14:I27" ca="1" si="1">G14-H14</f>
        <v>#REF!</v>
      </c>
      <c r="J14" s="3"/>
      <c r="K14" s="11" t="s">
        <v>26</v>
      </c>
      <c r="L14" s="11"/>
      <c r="M14" s="27">
        <v>115</v>
      </c>
      <c r="N14" s="27"/>
      <c r="O14" s="3"/>
      <c r="P14" s="12" t="s">
        <v>40</v>
      </c>
      <c r="Q14" s="12"/>
      <c r="R14" s="26">
        <v>12.99</v>
      </c>
      <c r="S14" s="26"/>
      <c r="T14" s="3"/>
      <c r="U14" s="13" t="s">
        <v>45</v>
      </c>
      <c r="V14" s="14"/>
      <c r="W14" s="14"/>
    </row>
    <row r="15" spans="1:23" ht="16.5">
      <c r="A15" s="9" t="s">
        <v>13</v>
      </c>
      <c r="B15" s="30">
        <v>500</v>
      </c>
      <c r="C15" s="30" t="e" cm="1">
        <f t="array" aca="1" ref="C15" ca="1">_xlfn.XLOOKUP(A15,INDIRECT("'Finanse-wersja-ostatnia-Karolina-Gądor.xlsx'!incomes_"&amp;$A$2&amp;"[Category]"),INDIRECT("'Finanse-wersja-ostatnia-Karolina-Gądor.xlsx'!incomes_"&amp;$A$2&amp;"[Total]"),0,0,1)</f>
        <v>#REF!</v>
      </c>
      <c r="D15" s="30" t="e">
        <f t="shared" ca="1" si="0"/>
        <v>#REF!</v>
      </c>
      <c r="E15" s="3"/>
      <c r="F15" s="10" t="s">
        <v>18</v>
      </c>
      <c r="G15" s="28">
        <v>300</v>
      </c>
      <c r="H15" s="28" t="e" cm="1">
        <f t="array" aca="1" ref="H15" ca="1">-_xlfn.XLOOKUP(F15,INDIRECT("'Finanse-wersja-ostatnia-Karolina-Gądor.xlsx'!expenses_"&amp;$A$2&amp;"[Category]"),INDIRECT("'Finanse-wersja-ostatnia-Karolina-Gądor.xlsx'!expenses_"&amp;$A$2&amp;"[Total]"),0,0,1)</f>
        <v>#REF!</v>
      </c>
      <c r="I15" s="28" t="e">
        <f t="shared" ca="1" si="1"/>
        <v>#REF!</v>
      </c>
      <c r="J15" s="3"/>
      <c r="K15" s="11" t="s">
        <v>27</v>
      </c>
      <c r="L15" s="11"/>
      <c r="M15" s="27">
        <v>65</v>
      </c>
      <c r="N15" s="27"/>
      <c r="O15" s="3"/>
      <c r="P15" s="12" t="s">
        <v>41</v>
      </c>
      <c r="Q15" s="12"/>
      <c r="R15" s="26">
        <v>24.9</v>
      </c>
      <c r="S15" s="26"/>
      <c r="T15" s="3"/>
      <c r="U15" s="13" t="s">
        <v>46</v>
      </c>
      <c r="V15" s="14"/>
      <c r="W15" s="14"/>
    </row>
    <row r="16" spans="1:23" ht="16.5">
      <c r="A16" s="9" t="s">
        <v>14</v>
      </c>
      <c r="B16" s="30">
        <v>100</v>
      </c>
      <c r="C16" s="30" t="e" cm="1">
        <f t="array" aca="1" ref="C16" ca="1">_xlfn.XLOOKUP(A16,INDIRECT("'Finanse-wersja-ostatnia-Karolina-Gądor.xlsx'!incomes_"&amp;$A$2&amp;"[Category]"),INDIRECT("'Finanse-wersja-ostatnia-Karolina-Gądor.xlsx'!incomes_"&amp;$A$2&amp;"[Total]"),0,0,1)</f>
        <v>#REF!</v>
      </c>
      <c r="D16" s="30" t="e">
        <f t="shared" ca="1" si="0"/>
        <v>#REF!</v>
      </c>
      <c r="E16" s="3"/>
      <c r="F16" s="29" t="s">
        <v>19</v>
      </c>
      <c r="G16" s="28">
        <v>750</v>
      </c>
      <c r="H16" s="28" t="e" cm="1">
        <f t="array" aca="1" ref="H16" ca="1">-_xlfn.XLOOKUP(F16,INDIRECT("'Finanse-wersja-ostatnia-Karolina-Gądor.xlsx'!expenses_"&amp;$A$2&amp;"[Category]"),INDIRECT("'Finanse-wersja-ostatnia-Karolina-Gądor.xlsx'!expenses_"&amp;$A$2&amp;"[Total]"),0,0,1)</f>
        <v>#REF!</v>
      </c>
      <c r="I16" s="28" t="e">
        <f t="shared" ca="1" si="1"/>
        <v>#REF!</v>
      </c>
      <c r="J16" s="3"/>
      <c r="K16" s="11" t="s">
        <v>28</v>
      </c>
      <c r="L16" s="11"/>
      <c r="M16" s="27">
        <v>40</v>
      </c>
      <c r="N16" s="27"/>
      <c r="O16" s="3"/>
      <c r="P16" s="12" t="s">
        <v>42</v>
      </c>
      <c r="Q16" s="12"/>
      <c r="R16" s="26">
        <v>100</v>
      </c>
      <c r="S16" s="26"/>
      <c r="T16" s="3"/>
      <c r="U16" s="13" t="s">
        <v>47</v>
      </c>
      <c r="V16" s="14"/>
      <c r="W16" s="14"/>
    </row>
    <row r="17" spans="1:23" ht="16.5">
      <c r="A17" s="9" t="s">
        <v>15</v>
      </c>
      <c r="B17" s="30">
        <v>1500</v>
      </c>
      <c r="C17" s="30" t="e" cm="1">
        <f t="array" aca="1" ref="C17" ca="1">_xlfn.XLOOKUP(A17,INDIRECT("'Finanse-wersja-ostatnia-Karolina-Gądor.xlsx'!incomes_"&amp;$A$2&amp;"[Category]"),INDIRECT("'Finanse-wersja-ostatnia-Karolina-Gądor.xlsx'!incomes_"&amp;$A$2&amp;"[Total]"),0,0,1)</f>
        <v>#REF!</v>
      </c>
      <c r="D17" s="30" t="e">
        <f t="shared" ca="1" si="0"/>
        <v>#REF!</v>
      </c>
      <c r="E17" s="3"/>
      <c r="F17" s="10" t="s">
        <v>20</v>
      </c>
      <c r="G17" s="28">
        <v>130</v>
      </c>
      <c r="H17" s="28" t="e" cm="1">
        <f t="array" aca="1" ref="H17" ca="1">-_xlfn.XLOOKUP(F17,INDIRECT("'Finanse-wersja-ostatnia-Karolina-Gądor.xlsx'!expenses_"&amp;$A$2&amp;"[Category]"),INDIRECT("'Finanse-wersja-ostatnia-Karolina-Gądor.xlsx'!expenses_"&amp;$A$2&amp;"[Total]"),0,0,1)</f>
        <v>#REF!</v>
      </c>
      <c r="I17" s="28" t="e">
        <f t="shared" ca="1" si="1"/>
        <v>#REF!</v>
      </c>
      <c r="J17" s="3"/>
      <c r="K17" s="11" t="s">
        <v>29</v>
      </c>
      <c r="L17" s="11"/>
      <c r="M17" s="27">
        <v>35</v>
      </c>
      <c r="N17" s="27"/>
      <c r="O17" s="3"/>
      <c r="P17" s="12"/>
      <c r="Q17" s="12"/>
      <c r="R17" s="26"/>
      <c r="S17" s="26"/>
      <c r="T17" s="3"/>
      <c r="U17" s="13"/>
      <c r="V17" s="14"/>
      <c r="W17" s="14"/>
    </row>
    <row r="18" spans="1:23" ht="16.5">
      <c r="A18" s="9" t="s">
        <v>16</v>
      </c>
      <c r="B18" s="30">
        <v>800</v>
      </c>
      <c r="C18" s="30" t="e" cm="1">
        <f t="array" aca="1" ref="C18" ca="1">_xlfn.XLOOKUP(A18,INDIRECT("'Finanse-wersja-ostatnia-Karolina-Gądor.xlsx'!incomes_"&amp;$A$2&amp;"[Category]"),INDIRECT("'Finanse-wersja-ostatnia-Karolina-Gądor.xlsx'!incomes_"&amp;$A$2&amp;"[Total]"),0,0,1)</f>
        <v>#REF!</v>
      </c>
      <c r="D18" s="30" t="e">
        <f t="shared" ca="1" si="0"/>
        <v>#REF!</v>
      </c>
      <c r="E18" s="3"/>
      <c r="F18" s="10" t="s">
        <v>21</v>
      </c>
      <c r="G18" s="28">
        <v>130</v>
      </c>
      <c r="H18" s="28" t="e" cm="1">
        <f t="array" aca="1" ref="H18" ca="1">-_xlfn.XLOOKUP(F18,INDIRECT("'Finanse-wersja-ostatnia-Karolina-Gądor.xlsx'!expenses_"&amp;$A$2&amp;"[Category]"),INDIRECT("'Finanse-wersja-ostatnia-Karolina-Gądor.xlsx'!expenses_"&amp;$A$2&amp;"[Total]"),0,0,1)</f>
        <v>#REF!</v>
      </c>
      <c r="I18" s="28" t="e">
        <f t="shared" ca="1" si="1"/>
        <v>#REF!</v>
      </c>
      <c r="J18" s="3"/>
      <c r="K18" s="11" t="s">
        <v>30</v>
      </c>
      <c r="L18" s="11"/>
      <c r="M18" s="27">
        <v>60</v>
      </c>
      <c r="N18" s="27"/>
      <c r="O18" s="3"/>
      <c r="P18" s="12"/>
      <c r="Q18" s="12"/>
      <c r="R18" s="26"/>
      <c r="S18" s="26"/>
      <c r="T18" s="3"/>
      <c r="U18" s="13"/>
      <c r="V18" s="14"/>
      <c r="W18" s="14"/>
    </row>
    <row r="19" spans="1:23" ht="16.5">
      <c r="A19" s="9"/>
      <c r="B19" s="30"/>
      <c r="C19" s="30" t="e" cm="1">
        <f t="array" aca="1" ref="C19" ca="1">_xlfn.XLOOKUP(A19,INDIRECT("'Finanse-wersja-ostatnia-Karolina-Gądor.xlsx'!incomes_"&amp;$A$2&amp;"[Category]"),INDIRECT("'Finanse-wersja-ostatnia-Karolina-Gądor.xlsx'!incomes_"&amp;$A$2&amp;"[Total]"),0,0,1)</f>
        <v>#REF!</v>
      </c>
      <c r="D19" s="30" t="e">
        <f t="shared" ca="1" si="0"/>
        <v>#REF!</v>
      </c>
      <c r="E19" s="3"/>
      <c r="F19" s="10" t="s">
        <v>22</v>
      </c>
      <c r="G19" s="28">
        <v>200</v>
      </c>
      <c r="H19" s="28" t="e" cm="1">
        <f t="array" aca="1" ref="H19" ca="1">-_xlfn.XLOOKUP(F19,INDIRECT("'Finanse-wersja-ostatnia-Karolina-Gądor.xlsx'!expenses_"&amp;$A$2&amp;"[Category]"),INDIRECT("'Finanse-wersja-ostatnia-Karolina-Gądor.xlsx'!expenses_"&amp;$A$2&amp;"[Total]"),0,0,1)</f>
        <v>#REF!</v>
      </c>
      <c r="I19" s="28" t="e">
        <f t="shared" ca="1" si="1"/>
        <v>#REF!</v>
      </c>
      <c r="J19" s="3"/>
      <c r="K19" s="11" t="s">
        <v>31</v>
      </c>
      <c r="L19" s="11"/>
      <c r="M19" s="27">
        <v>60</v>
      </c>
      <c r="N19" s="27"/>
      <c r="O19" s="3"/>
      <c r="P19" s="12"/>
      <c r="Q19" s="12"/>
      <c r="R19" s="26"/>
      <c r="S19" s="26"/>
      <c r="T19" s="3"/>
      <c r="U19" s="13"/>
      <c r="V19" s="14"/>
      <c r="W19" s="14"/>
    </row>
    <row r="20" spans="1:23" ht="16.5">
      <c r="A20" s="31"/>
      <c r="B20" s="30"/>
      <c r="C20" s="30" t="e" cm="1">
        <f t="array" aca="1" ref="C20" ca="1">_xlfn.XLOOKUP(A20,INDIRECT("'Finanse-wersja-ostatnia-Karolina-Gądor.xlsx'!incomes_"&amp;$A$2&amp;"[Category]"),INDIRECT("'Finanse-wersja-ostatnia-Karolina-Gądor.xlsx'!incomes_"&amp;$A$2&amp;"[Total]"),0,0,1)</f>
        <v>#REF!</v>
      </c>
      <c r="D20" s="30" t="e">
        <f t="shared" ca="1" si="0"/>
        <v>#REF!</v>
      </c>
      <c r="E20" s="3"/>
      <c r="F20" s="29" t="s">
        <v>23</v>
      </c>
      <c r="G20" s="28">
        <v>200</v>
      </c>
      <c r="H20" s="28" t="e" cm="1">
        <f t="array" aca="1" ref="H20" ca="1">-_xlfn.XLOOKUP(F20,INDIRECT("'Finanse-wersja-ostatnia-Karolina-Gądor.xlsx'!expenses_"&amp;$A$2&amp;"[Category]"),INDIRECT("'Finanse-wersja-ostatnia-Karolina-Gądor.xlsx'!expenses_"&amp;$A$2&amp;"[Total]"),0,0,1)</f>
        <v>#REF!</v>
      </c>
      <c r="I20" s="28" t="e">
        <f t="shared" ca="1" si="1"/>
        <v>#REF!</v>
      </c>
      <c r="J20" s="3"/>
      <c r="K20" s="11"/>
      <c r="L20" s="11"/>
      <c r="M20" s="27"/>
      <c r="N20" s="27"/>
      <c r="O20" s="3"/>
      <c r="P20" s="12"/>
      <c r="Q20" s="12"/>
      <c r="R20" s="26"/>
      <c r="S20" s="26"/>
      <c r="T20" s="3"/>
      <c r="U20" s="13"/>
      <c r="V20" s="14"/>
      <c r="W20" s="14"/>
    </row>
    <row r="21" spans="1:23" ht="16.5">
      <c r="A21" s="9"/>
      <c r="B21" s="30"/>
      <c r="C21" s="30" t="e" cm="1">
        <f t="array" aca="1" ref="C21" ca="1">_xlfn.XLOOKUP(A21,INDIRECT("'Finanse-wersja-ostatnia-Karolina-Gądor.xlsx'!incomes_"&amp;$A$2&amp;"[Category]"),INDIRECT("'Finanse-wersja-ostatnia-Karolina-Gądor.xlsx'!incomes_"&amp;$A$2&amp;"[Total]"),0,0,1)</f>
        <v>#REF!</v>
      </c>
      <c r="D21" s="30" t="e">
        <f t="shared" ca="1" si="0"/>
        <v>#REF!</v>
      </c>
      <c r="E21" s="3"/>
      <c r="F21" s="10" t="s">
        <v>24</v>
      </c>
      <c r="G21" s="28">
        <v>150</v>
      </c>
      <c r="H21" s="28" t="e" cm="1">
        <f t="array" aca="1" ref="H21" ca="1">-_xlfn.XLOOKUP(F21,INDIRECT("'Finanse-wersja-ostatnia-Karolina-Gądor.xlsx'!expenses_"&amp;$A$2&amp;"[Category]"),INDIRECT("'Finanse-wersja-ostatnia-Karolina-Gądor.xlsx'!expenses_"&amp;$A$2&amp;"[Total]"),0,0,1)</f>
        <v>#REF!</v>
      </c>
      <c r="I21" s="28" t="e">
        <f t="shared" ca="1" si="1"/>
        <v>#REF!</v>
      </c>
      <c r="J21" s="3"/>
      <c r="K21" s="2"/>
      <c r="L21" s="2"/>
      <c r="M21" s="27"/>
      <c r="N21" s="27"/>
      <c r="O21" s="3"/>
      <c r="P21" s="12"/>
      <c r="Q21" s="12"/>
      <c r="R21" s="26"/>
      <c r="S21" s="26"/>
      <c r="T21" s="3"/>
      <c r="U21" s="13"/>
      <c r="V21" s="14"/>
      <c r="W21" s="14"/>
    </row>
    <row r="22" spans="1:23" ht="16.5">
      <c r="A22" s="9"/>
      <c r="B22" s="30"/>
      <c r="C22" s="30" t="e" cm="1">
        <f t="array" aca="1" ref="C22" ca="1">_xlfn.XLOOKUP(A22,INDIRECT("'Finanse-wersja-ostatnia-Karolina-Gądor.xlsx'!incomes_"&amp;$A$2&amp;"[Category]"),INDIRECT("'Finanse-wersja-ostatnia-Karolina-Gądor.xlsx'!incomes_"&amp;$A$2&amp;"[Total]"),0,0,1)</f>
        <v>#REF!</v>
      </c>
      <c r="D22" s="30" t="e">
        <f t="shared" ca="1" si="0"/>
        <v>#REF!</v>
      </c>
      <c r="E22" s="3"/>
      <c r="F22" s="10"/>
      <c r="G22" s="28"/>
      <c r="H22" s="28"/>
      <c r="I22" s="28">
        <f t="shared" si="1"/>
        <v>0</v>
      </c>
      <c r="J22" s="3"/>
      <c r="K22" s="11"/>
      <c r="L22" s="11"/>
      <c r="M22" s="27"/>
      <c r="N22" s="27"/>
      <c r="O22" s="3"/>
      <c r="P22" s="12"/>
      <c r="Q22" s="12"/>
      <c r="R22" s="26"/>
      <c r="S22" s="26"/>
      <c r="T22" s="3"/>
      <c r="U22" s="13"/>
      <c r="V22" s="14"/>
      <c r="W22" s="14"/>
    </row>
    <row r="23" spans="1:23" ht="16.5">
      <c r="A23" s="9"/>
      <c r="B23" s="30"/>
      <c r="C23" s="30" t="e" cm="1">
        <f t="array" aca="1" ref="C23" ca="1">_xlfn.XLOOKUP(A23,INDIRECT("'Finanse-wersja-ostatnia-Karolina-Gądor.xlsx'!incomes_"&amp;$A$2&amp;"[Category]"),INDIRECT("'Finanse-wersja-ostatnia-Karolina-Gądor.xlsx'!incomes_"&amp;$A$2&amp;"[Total]"),0,0,1)</f>
        <v>#REF!</v>
      </c>
      <c r="D23" s="30" t="e">
        <f t="shared" ca="1" si="0"/>
        <v>#REF!</v>
      </c>
      <c r="E23" s="3"/>
      <c r="F23" s="10"/>
      <c r="G23" s="28"/>
      <c r="H23" s="28"/>
      <c r="I23" s="28">
        <f t="shared" si="1"/>
        <v>0</v>
      </c>
      <c r="J23" s="3"/>
      <c r="K23" s="11"/>
      <c r="L23" s="11"/>
      <c r="M23" s="27"/>
      <c r="N23" s="27"/>
      <c r="O23" s="3"/>
      <c r="P23" s="12"/>
      <c r="Q23" s="12"/>
      <c r="R23" s="26"/>
      <c r="S23" s="26"/>
      <c r="T23" s="3"/>
      <c r="U23" s="13"/>
      <c r="V23" s="14"/>
      <c r="W23" s="14"/>
    </row>
    <row r="24" spans="1:23" ht="16.5">
      <c r="A24" s="9"/>
      <c r="B24" s="30"/>
      <c r="C24" s="30" t="e" cm="1">
        <f t="array" aca="1" ref="C24" ca="1">_xlfn.XLOOKUP(A24,INDIRECT("'Finanse-wersja-ostatnia-Karolina-Gądor.xlsx'!incomes_"&amp;$A$2&amp;"[Category]"),INDIRECT("'Finanse-wersja-ostatnia-Karolina-Gądor.xlsx'!incomes_"&amp;$A$2&amp;"[Total]"),0,0,1)</f>
        <v>#REF!</v>
      </c>
      <c r="D24" s="30" t="e">
        <f t="shared" ca="1" si="0"/>
        <v>#REF!</v>
      </c>
      <c r="E24" s="3"/>
      <c r="F24" s="10"/>
      <c r="G24" s="28"/>
      <c r="H24" s="28"/>
      <c r="I24" s="28">
        <f t="shared" si="1"/>
        <v>0</v>
      </c>
      <c r="J24" s="3"/>
      <c r="K24" s="11"/>
      <c r="L24" s="11"/>
      <c r="M24" s="27"/>
      <c r="N24" s="27"/>
      <c r="O24" s="3"/>
      <c r="P24" s="12"/>
      <c r="Q24" s="12"/>
      <c r="R24" s="26"/>
      <c r="S24" s="26"/>
      <c r="T24" s="3"/>
      <c r="U24" s="13"/>
      <c r="V24" s="14"/>
      <c r="W24" s="14"/>
    </row>
    <row r="25" spans="1:23" ht="16.5">
      <c r="A25" s="9"/>
      <c r="B25" s="30"/>
      <c r="C25" s="30" t="e" cm="1">
        <f t="array" aca="1" ref="C25" ca="1">_xlfn.XLOOKUP(A25,INDIRECT("'Finanse-wersja-ostatnia-Karolina-Gądor.xlsx'!incomes_"&amp;$A$2&amp;"[Category]"),INDIRECT("'Finanse-wersja-ostatnia-Karolina-Gądor.xlsx'!incomes_"&amp;$A$2&amp;"[Total]"),0,0,1)</f>
        <v>#REF!</v>
      </c>
      <c r="D25" s="30" t="e">
        <f t="shared" ca="1" si="0"/>
        <v>#REF!</v>
      </c>
      <c r="E25" s="3"/>
      <c r="F25" s="10"/>
      <c r="G25" s="28"/>
      <c r="H25" s="28"/>
      <c r="I25" s="28">
        <f t="shared" si="1"/>
        <v>0</v>
      </c>
      <c r="J25" s="3"/>
      <c r="K25" s="11"/>
      <c r="L25" s="11"/>
      <c r="M25" s="27"/>
      <c r="N25" s="27"/>
      <c r="O25" s="3"/>
      <c r="P25" s="12"/>
      <c r="Q25" s="12"/>
      <c r="R25" s="26"/>
      <c r="S25" s="26"/>
      <c r="T25" s="3"/>
      <c r="U25" s="13"/>
      <c r="V25" s="14"/>
      <c r="W25" s="14"/>
    </row>
    <row r="26" spans="1:23" ht="16.5">
      <c r="A26" s="9"/>
      <c r="B26" s="30"/>
      <c r="C26" s="30" t="e" cm="1">
        <f t="array" aca="1" ref="C26" ca="1">_xlfn.XLOOKUP(A26,INDIRECT("'Finanse-wersja-ostatnia-Karolina-Gądor.xlsx'!incomes_"&amp;$A$2&amp;"[Category]"),INDIRECT("'Finanse-wersja-ostatnia-Karolina-Gądor.xlsx'!incomes_"&amp;$A$2&amp;"[Total]"),0,0,1)</f>
        <v>#REF!</v>
      </c>
      <c r="D26" s="30" t="e">
        <f t="shared" ca="1" si="0"/>
        <v>#REF!</v>
      </c>
      <c r="E26" s="3"/>
      <c r="F26" s="10"/>
      <c r="G26" s="28"/>
      <c r="H26" s="28"/>
      <c r="I26" s="28">
        <f t="shared" si="1"/>
        <v>0</v>
      </c>
      <c r="J26" s="3"/>
      <c r="K26" s="11"/>
      <c r="L26" s="11"/>
      <c r="M26" s="27"/>
      <c r="N26" s="27"/>
      <c r="O26" s="3"/>
      <c r="P26" s="12"/>
      <c r="Q26" s="12"/>
      <c r="R26" s="26"/>
      <c r="S26" s="26"/>
      <c r="T26" s="3"/>
      <c r="U26" s="13"/>
      <c r="V26" s="14"/>
      <c r="W26" s="14"/>
    </row>
    <row r="27" spans="1:23" ht="16.5">
      <c r="A27" s="9"/>
      <c r="B27" s="30"/>
      <c r="C27" s="30" t="e" cm="1">
        <f t="array" aca="1" ref="C27" ca="1">_xlfn.XLOOKUP(A27,INDIRECT("'Finanse-wersja-ostatnia-Karolina-Gądor.xlsx'!incomes_"&amp;$A$2&amp;"[Category]"),INDIRECT("'Finanse-wersja-ostatnia-Karolina-Gądor.xlsx'!incomes_"&amp;$A$2&amp;"[Total]"),0,0,1)</f>
        <v>#REF!</v>
      </c>
      <c r="D27" s="30" t="e">
        <f t="shared" ca="1" si="0"/>
        <v>#REF!</v>
      </c>
      <c r="E27" s="3"/>
      <c r="F27" s="10"/>
      <c r="G27" s="28"/>
      <c r="H27" s="28"/>
      <c r="I27" s="28">
        <f t="shared" si="1"/>
        <v>0</v>
      </c>
      <c r="J27" s="3"/>
      <c r="K27" s="11"/>
      <c r="L27" s="11"/>
      <c r="M27" s="27"/>
      <c r="N27" s="27"/>
      <c r="O27" s="3"/>
      <c r="P27" s="12"/>
      <c r="Q27" s="12"/>
      <c r="R27" s="26"/>
      <c r="S27" s="26"/>
      <c r="T27" s="3"/>
      <c r="U27" s="13"/>
      <c r="V27" s="14"/>
      <c r="W27" s="14"/>
    </row>
    <row r="28" spans="1:23" ht="16.5">
      <c r="A28" s="15" t="s">
        <v>1</v>
      </c>
      <c r="B28" s="16">
        <f>SUM(B13:B27)</f>
        <v>5700</v>
      </c>
      <c r="C28" s="16" t="e">
        <f ca="1">SUM(C13:C27)</f>
        <v>#REF!</v>
      </c>
      <c r="D28" s="51"/>
      <c r="E28" s="3"/>
      <c r="F28" s="17" t="s">
        <v>0</v>
      </c>
      <c r="G28" s="18">
        <f>SUM(G13:G27)</f>
        <v>3795</v>
      </c>
      <c r="H28" s="18" t="e">
        <f ca="1">SUM(H13:H27)</f>
        <v>#REF!</v>
      </c>
      <c r="I28" s="18"/>
      <c r="J28" s="19"/>
      <c r="K28" s="20" t="s">
        <v>0</v>
      </c>
      <c r="L28" s="20"/>
      <c r="M28" s="21">
        <f>SUM(M13:M27)</f>
        <v>2575</v>
      </c>
      <c r="N28" s="21">
        <f>SUM(N13:N27)</f>
        <v>0</v>
      </c>
      <c r="O28" s="19"/>
      <c r="P28" s="22" t="s">
        <v>0</v>
      </c>
      <c r="Q28" s="22"/>
      <c r="R28" s="23">
        <f>SUM(R13:R27)</f>
        <v>170.89</v>
      </c>
      <c r="S28" s="23">
        <f>SUM(S13:S27)</f>
        <v>0</v>
      </c>
      <c r="T28" s="19"/>
      <c r="U28" s="24" t="s">
        <v>0</v>
      </c>
      <c r="V28" s="25">
        <f>SUM(V13:V27)</f>
        <v>0</v>
      </c>
      <c r="W28" s="25">
        <f>SUM(W13:W27)</f>
        <v>0</v>
      </c>
    </row>
    <row r="33" spans="16:17">
      <c r="P33" s="1"/>
      <c r="Q33" s="1"/>
    </row>
  </sheetData>
  <mergeCells count="7">
    <mergeCell ref="P11:S11"/>
    <mergeCell ref="U11:W11"/>
    <mergeCell ref="A1:C1"/>
    <mergeCell ref="A2:C2"/>
    <mergeCell ref="A11:C11"/>
    <mergeCell ref="F11:H11"/>
    <mergeCell ref="K11:N11"/>
  </mergeCells>
  <conditionalFormatting sqref="L13:L27">
    <cfRule type="cellIs" dxfId="0" priority="1" operator="lessThan">
      <formula>TODAY()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Gądor</dc:creator>
  <cp:lastModifiedBy>RisSetupInstall</cp:lastModifiedBy>
  <dcterms:created xsi:type="dcterms:W3CDTF">2025-10-31T12:21:09Z</dcterms:created>
  <dcterms:modified xsi:type="dcterms:W3CDTF">2025-12-12T13:42:59Z</dcterms:modified>
</cp:coreProperties>
</file>