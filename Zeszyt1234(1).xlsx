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ab468f7e44bd1a6/Pulpit/"/>
    </mc:Choice>
  </mc:AlternateContent>
  <xr:revisionPtr revIDLastSave="0" documentId="8_{436BE02B-EFA3-488E-B743-EECB02F2C2D8}" xr6:coauthVersionLast="47" xr6:coauthVersionMax="47" xr10:uidLastSave="{00000000-0000-0000-0000-000000000000}"/>
  <bookViews>
    <workbookView xWindow="-120" yWindow="-120" windowWidth="29040" windowHeight="15720" xr2:uid="{E5C36CAE-3325-4353-AC0D-E4E8A856175F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" i="1" l="1"/>
  <c r="X28" i="1" s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W28" i="1"/>
  <c r="S28" i="1"/>
  <c r="V28" i="1"/>
  <c r="R28" i="1"/>
  <c r="M28" i="1"/>
  <c r="N28" i="1"/>
  <c r="G28" i="1"/>
  <c r="B28" i="1"/>
  <c r="B6" i="1" a="1"/>
  <c r="B7" i="1" a="1"/>
  <c r="C7" i="1" a="1"/>
  <c r="D7" i="1" a="1"/>
  <c r="B5" i="1" a="1"/>
  <c r="D7" i="1" l="1"/>
  <c r="C7" i="1"/>
  <c r="B7" i="1"/>
  <c r="B6" i="1"/>
  <c r="B5" i="1"/>
  <c r="I22" i="1" l="1"/>
  <c r="I23" i="1"/>
  <c r="I24" i="1"/>
  <c r="I25" i="1"/>
  <c r="I26" i="1"/>
  <c r="I27" i="1"/>
  <c r="A2" i="1" a="1"/>
  <c r="A2" i="1" s="1"/>
  <c r="H13" i="1" a="1"/>
  <c r="Q16" i="1" l="1"/>
  <c r="Q17" i="1"/>
  <c r="Q14" i="1"/>
  <c r="Q15" i="1"/>
  <c r="Q13" i="1"/>
  <c r="L18" i="1"/>
  <c r="L14" i="1"/>
  <c r="L17" i="1"/>
  <c r="L15" i="1"/>
  <c r="L16" i="1"/>
  <c r="H13" i="1"/>
  <c r="L13" i="1"/>
  <c r="C14" i="1" a="1"/>
  <c r="H18" i="1" a="1"/>
  <c r="C19" i="1" a="1"/>
  <c r="H14" i="1" a="1"/>
  <c r="H17" i="1" a="1"/>
  <c r="C24" i="1" a="1"/>
  <c r="C25" i="1" a="1"/>
  <c r="C18" i="1" a="1"/>
  <c r="C17" i="1" a="1"/>
  <c r="C23" i="1" a="1"/>
  <c r="H21" i="1" a="1"/>
  <c r="H19" i="1" a="1"/>
  <c r="C26" i="1" a="1"/>
  <c r="C20" i="1" a="1"/>
  <c r="C13" i="1" a="1"/>
  <c r="H16" i="1" a="1"/>
  <c r="C16" i="1" a="1"/>
  <c r="C21" i="1" a="1"/>
  <c r="H15" i="1" a="1"/>
  <c r="C15" i="1" a="1"/>
  <c r="C27" i="1" a="1"/>
  <c r="H20" i="1" a="1"/>
  <c r="C22" i="1" a="1"/>
  <c r="B9" i="1" l="1"/>
  <c r="C22" i="1"/>
  <c r="D22" i="1" s="1"/>
  <c r="H20" i="1"/>
  <c r="I20" i="1" s="1"/>
  <c r="C27" i="1"/>
  <c r="C15" i="1"/>
  <c r="D15" i="1" s="1"/>
  <c r="H15" i="1"/>
  <c r="I15" i="1" s="1"/>
  <c r="C21" i="1"/>
  <c r="D21" i="1" s="1"/>
  <c r="I13" i="1"/>
  <c r="C16" i="1"/>
  <c r="D16" i="1" s="1"/>
  <c r="H16" i="1"/>
  <c r="I16" i="1" s="1"/>
  <c r="C13" i="1"/>
  <c r="C20" i="1"/>
  <c r="D20" i="1" s="1"/>
  <c r="C26" i="1"/>
  <c r="D26" i="1" s="1"/>
  <c r="H19" i="1"/>
  <c r="I19" i="1" s="1"/>
  <c r="H21" i="1"/>
  <c r="I21" i="1" s="1"/>
  <c r="C23" i="1"/>
  <c r="D23" i="1" s="1"/>
  <c r="C17" i="1"/>
  <c r="D17" i="1" s="1"/>
  <c r="C18" i="1"/>
  <c r="D18" i="1" s="1"/>
  <c r="C25" i="1"/>
  <c r="D25" i="1" s="1"/>
  <c r="C24" i="1"/>
  <c r="D24" i="1" s="1"/>
  <c r="H17" i="1"/>
  <c r="I17" i="1" s="1"/>
  <c r="H14" i="1"/>
  <c r="I14" i="1" s="1"/>
  <c r="C19" i="1"/>
  <c r="D19" i="1" s="1"/>
  <c r="H18" i="1"/>
  <c r="I18" i="1" s="1"/>
  <c r="C14" i="1"/>
  <c r="D14" i="1" s="1"/>
  <c r="I28" i="1" l="1"/>
  <c r="H28" i="1"/>
  <c r="D13" i="1"/>
  <c r="C28" i="1"/>
  <c r="D27" i="1"/>
  <c r="D6" i="1" a="1"/>
  <c r="C6" i="1" a="1"/>
  <c r="C5" i="1" a="1"/>
  <c r="C6" i="1" l="1"/>
  <c r="D6" i="1"/>
  <c r="C5" i="1"/>
  <c r="D28" i="1"/>
  <c r="C9" i="1"/>
  <c r="D5" i="1" a="1"/>
  <c r="D5" i="1" l="1"/>
  <c r="D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<sst xmlns="http://schemas.openxmlformats.org/spreadsheetml/2006/main" count="67" uniqueCount="46">
  <si>
    <t>Rent</t>
  </si>
  <si>
    <t>Month</t>
  </si>
  <si>
    <t>Planned</t>
  </si>
  <si>
    <t>Actual</t>
  </si>
  <si>
    <t>Left</t>
  </si>
  <si>
    <t>Expenses</t>
  </si>
  <si>
    <t>Savings</t>
  </si>
  <si>
    <t>Balance</t>
  </si>
  <si>
    <t>Allowance</t>
  </si>
  <si>
    <t>Financial</t>
  </si>
  <si>
    <t>Gift</t>
  </si>
  <si>
    <t>Other incoms</t>
  </si>
  <si>
    <t>Salary</t>
  </si>
  <si>
    <t>Scholarship</t>
  </si>
  <si>
    <t>Clothing</t>
  </si>
  <si>
    <t>Entertainment</t>
  </si>
  <si>
    <t>Groceries</t>
  </si>
  <si>
    <t>Health&amp;Beauty</t>
  </si>
  <si>
    <t>Multimedia</t>
  </si>
  <si>
    <t>Other expences</t>
  </si>
  <si>
    <t>Studies</t>
  </si>
  <si>
    <t>Transportation</t>
  </si>
  <si>
    <t>Accomodation</t>
  </si>
  <si>
    <t>Electricity</t>
  </si>
  <si>
    <t>Gas</t>
  </si>
  <si>
    <t>Water</t>
  </si>
  <si>
    <t>Waste</t>
  </si>
  <si>
    <t>Internet</t>
  </si>
  <si>
    <t>Source</t>
  </si>
  <si>
    <t>Category</t>
  </si>
  <si>
    <t>Bill</t>
  </si>
  <si>
    <t>Bills</t>
  </si>
  <si>
    <t>Service</t>
  </si>
  <si>
    <t>Subscriptions</t>
  </si>
  <si>
    <t>Netflix</t>
  </si>
  <si>
    <t>Spotify</t>
  </si>
  <si>
    <t>Aim</t>
  </si>
  <si>
    <t>Rainy day</t>
  </si>
  <si>
    <t>Due</t>
  </si>
  <si>
    <t>Bookbeat</t>
  </si>
  <si>
    <t>ChatGPT</t>
  </si>
  <si>
    <t>Duolingo</t>
  </si>
  <si>
    <t>Laptop</t>
  </si>
  <si>
    <t>Summer holiday</t>
  </si>
  <si>
    <t>Total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</si>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</sst>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zł&quot;_-;\-* #,##0.00\ &quot;zł&quot;_-;_-* &quot;-&quot;??\ &quot;zł&quot;_-;_-@_-"/>
    <numFmt numFmtId="164" formatCode="#,##0.00\ &quot;zł&quot;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Ebrima"/>
      <charset val="238"/>
    </font>
    <font>
      <sz val="11"/>
      <color theme="1"/>
      <name val="Ebrima"/>
      <charset val="238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2">
    <xf numFmtId="0" fontId="0" fillId="0" borderId="0" xfId="0"/>
    <xf numFmtId="164" fontId="0" fillId="0" borderId="0" xfId="0" applyNumberFormat="1"/>
    <xf numFmtId="0" fontId="0" fillId="9" borderId="1" xfId="0" applyFill="1" applyBorder="1"/>
    <xf numFmtId="0" fontId="3" fillId="0" borderId="0" xfId="0" applyFont="1"/>
    <xf numFmtId="0" fontId="3" fillId="4" borderId="1" xfId="0" applyFont="1" applyFill="1" applyBorder="1"/>
    <xf numFmtId="0" fontId="3" fillId="2" borderId="1" xfId="0" applyFont="1" applyFill="1" applyBorder="1"/>
    <xf numFmtId="0" fontId="3" fillId="9" borderId="1" xfId="0" applyFont="1" applyFill="1" applyBorder="1"/>
    <xf numFmtId="44" fontId="3" fillId="16" borderId="1" xfId="1" applyFont="1" applyFill="1" applyBorder="1"/>
    <xf numFmtId="0" fontId="2" fillId="6" borderId="1" xfId="0" applyFont="1" applyFill="1" applyBorder="1"/>
    <xf numFmtId="44" fontId="2" fillId="6" borderId="1" xfId="1" applyFont="1" applyFill="1" applyBorder="1"/>
    <xf numFmtId="0" fontId="2" fillId="0" borderId="0" xfId="0" applyFont="1"/>
    <xf numFmtId="0" fontId="2" fillId="10" borderId="1" xfId="0" applyFont="1" applyFill="1" applyBorder="1"/>
    <xf numFmtId="44" fontId="2" fillId="10" borderId="1" xfId="1" applyFont="1" applyFill="1" applyBorder="1"/>
    <xf numFmtId="0" fontId="2" fillId="12" borderId="1" xfId="0" applyFont="1" applyFill="1" applyBorder="1"/>
    <xf numFmtId="0" fontId="2" fillId="14" borderId="1" xfId="0" applyFont="1" applyFill="1" applyBorder="1"/>
    <xf numFmtId="44" fontId="3" fillId="9" borderId="1" xfId="1" applyFont="1" applyFill="1" applyBorder="1"/>
    <xf numFmtId="44" fontId="3" fillId="8" borderId="1" xfId="1" applyFont="1" applyFill="1" applyBorder="1"/>
    <xf numFmtId="44" fontId="3" fillId="2" borderId="1" xfId="1" applyFont="1" applyFill="1" applyBorder="1"/>
    <xf numFmtId="0" fontId="0" fillId="2" borderId="0" xfId="0" applyFill="1"/>
    <xf numFmtId="0" fontId="0" fillId="4" borderId="1" xfId="0" applyFill="1" applyBorder="1"/>
    <xf numFmtId="0" fontId="0" fillId="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3" fillId="4" borderId="0" xfId="0" applyFont="1" applyFill="1"/>
    <xf numFmtId="14" fontId="0" fillId="9" borderId="1" xfId="0" applyNumberFormat="1" applyFill="1" applyBorder="1"/>
    <xf numFmtId="0" fontId="2" fillId="1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44" fontId="0" fillId="2" borderId="1" xfId="0" applyNumberFormat="1" applyFill="1" applyBorder="1"/>
    <xf numFmtId="0" fontId="0" fillId="4" borderId="3" xfId="0" applyFill="1" applyBorder="1"/>
    <xf numFmtId="44" fontId="0" fillId="2" borderId="3" xfId="0" applyNumberFormat="1" applyFill="1" applyBorder="1"/>
    <xf numFmtId="0" fontId="0" fillId="0" borderId="0" xfId="0" applyFill="1"/>
    <xf numFmtId="0" fontId="0" fillId="0" borderId="0" xfId="0" applyFill="1" applyBorder="1"/>
    <xf numFmtId="44" fontId="0" fillId="0" borderId="0" xfId="0" applyNumberFormat="1" applyFill="1" applyBorder="1"/>
    <xf numFmtId="0" fontId="3" fillId="18" borderId="1" xfId="0" applyFont="1" applyFill="1" applyBorder="1"/>
    <xf numFmtId="14" fontId="0" fillId="18" borderId="1" xfId="0" applyNumberFormat="1" applyFill="1" applyBorder="1"/>
    <xf numFmtId="44" fontId="3" fillId="18" borderId="1" xfId="1" applyFont="1" applyFill="1" applyBorder="1"/>
    <xf numFmtId="0" fontId="3" fillId="2" borderId="5" xfId="0" applyFont="1" applyFill="1" applyBorder="1"/>
    <xf numFmtId="44" fontId="3" fillId="2" borderId="5" xfId="1" applyFont="1" applyFill="1" applyBorder="1"/>
    <xf numFmtId="0" fontId="2" fillId="3" borderId="2" xfId="0" applyFont="1" applyFill="1" applyBorder="1"/>
    <xf numFmtId="44" fontId="2" fillId="3" borderId="2" xfId="0" applyNumberFormat="1" applyFont="1" applyFill="1" applyBorder="1"/>
    <xf numFmtId="0" fontId="3" fillId="8" borderId="6" xfId="0" applyFont="1" applyFill="1" applyBorder="1"/>
    <xf numFmtId="0" fontId="3" fillId="8" borderId="7" xfId="0" applyFont="1" applyFill="1" applyBorder="1"/>
    <xf numFmtId="44" fontId="3" fillId="8" borderId="3" xfId="1" applyFont="1" applyFill="1" applyBorder="1"/>
    <xf numFmtId="0" fontId="3" fillId="7" borderId="8" xfId="0" applyFont="1" applyFill="1" applyBorder="1"/>
    <xf numFmtId="0" fontId="3" fillId="7" borderId="9" xfId="0" applyFont="1" applyFill="1" applyBorder="1"/>
    <xf numFmtId="0" fontId="3" fillId="7" borderId="10" xfId="0" applyFont="1" applyFill="1" applyBorder="1"/>
    <xf numFmtId="0" fontId="3" fillId="8" borderId="11" xfId="0" applyFont="1" applyFill="1" applyBorder="1"/>
    <xf numFmtId="44" fontId="3" fillId="8" borderId="5" xfId="1" applyFont="1" applyFill="1" applyBorder="1"/>
    <xf numFmtId="44" fontId="3" fillId="8" borderId="12" xfId="1" applyFont="1" applyFill="1" applyBorder="1"/>
    <xf numFmtId="0" fontId="0" fillId="9" borderId="6" xfId="0" applyFill="1" applyBorder="1"/>
    <xf numFmtId="0" fontId="3" fillId="9" borderId="6" xfId="0" applyFont="1" applyFill="1" applyBorder="1"/>
    <xf numFmtId="44" fontId="3" fillId="9" borderId="3" xfId="1" applyFont="1" applyFill="1" applyBorder="1"/>
    <xf numFmtId="0" fontId="3" fillId="11" borderId="8" xfId="0" applyFont="1" applyFill="1" applyBorder="1"/>
    <xf numFmtId="0" fontId="3" fillId="11" borderId="9" xfId="0" applyFont="1" applyFill="1" applyBorder="1" applyAlignment="1">
      <alignment horizontal="center"/>
    </xf>
    <xf numFmtId="0" fontId="3" fillId="11" borderId="9" xfId="0" applyFont="1" applyFill="1" applyBorder="1"/>
    <xf numFmtId="0" fontId="3" fillId="11" borderId="10" xfId="0" applyFont="1" applyFill="1" applyBorder="1"/>
    <xf numFmtId="0" fontId="3" fillId="9" borderId="11" xfId="0" applyFont="1" applyFill="1" applyBorder="1"/>
    <xf numFmtId="0" fontId="3" fillId="9" borderId="5" xfId="0" applyFont="1" applyFill="1" applyBorder="1"/>
    <xf numFmtId="44" fontId="3" fillId="9" borderId="5" xfId="1" applyFont="1" applyFill="1" applyBorder="1"/>
    <xf numFmtId="44" fontId="3" fillId="9" borderId="12" xfId="1" applyFont="1" applyFill="1" applyBorder="1"/>
    <xf numFmtId="0" fontId="3" fillId="18" borderId="6" xfId="0" applyFont="1" applyFill="1" applyBorder="1"/>
    <xf numFmtId="44" fontId="3" fillId="18" borderId="3" xfId="1" applyFont="1" applyFill="1" applyBorder="1"/>
    <xf numFmtId="0" fontId="3" fillId="13" borderId="8" xfId="0" applyFont="1" applyFill="1" applyBorder="1"/>
    <xf numFmtId="0" fontId="3" fillId="13" borderId="9" xfId="0" applyFont="1" applyFill="1" applyBorder="1" applyAlignment="1">
      <alignment horizontal="center"/>
    </xf>
    <xf numFmtId="0" fontId="3" fillId="13" borderId="9" xfId="0" applyFont="1" applyFill="1" applyBorder="1"/>
    <xf numFmtId="0" fontId="3" fillId="13" borderId="10" xfId="0" applyFont="1" applyFill="1" applyBorder="1"/>
    <xf numFmtId="0" fontId="3" fillId="18" borderId="11" xfId="0" applyFont="1" applyFill="1" applyBorder="1"/>
    <xf numFmtId="0" fontId="3" fillId="18" borderId="5" xfId="0" applyFont="1" applyFill="1" applyBorder="1"/>
    <xf numFmtId="44" fontId="3" fillId="18" borderId="5" xfId="1" applyFont="1" applyFill="1" applyBorder="1"/>
    <xf numFmtId="44" fontId="3" fillId="18" borderId="12" xfId="1" applyFont="1" applyFill="1" applyBorder="1"/>
    <xf numFmtId="0" fontId="3" fillId="16" borderId="6" xfId="0" applyFont="1" applyFill="1" applyBorder="1"/>
    <xf numFmtId="44" fontId="3" fillId="16" borderId="3" xfId="1" applyFont="1" applyFill="1" applyBorder="1"/>
    <xf numFmtId="0" fontId="3" fillId="15" borderId="8" xfId="0" applyFont="1" applyFill="1" applyBorder="1"/>
    <xf numFmtId="0" fontId="3" fillId="15" borderId="9" xfId="0" applyFont="1" applyFill="1" applyBorder="1"/>
    <xf numFmtId="0" fontId="3" fillId="15" borderId="10" xfId="0" applyFont="1" applyFill="1" applyBorder="1"/>
    <xf numFmtId="0" fontId="3" fillId="16" borderId="11" xfId="0" applyFont="1" applyFill="1" applyBorder="1"/>
    <xf numFmtId="44" fontId="3" fillId="16" borderId="5" xfId="1" applyFont="1" applyFill="1" applyBorder="1"/>
    <xf numFmtId="44" fontId="3" fillId="16" borderId="12" xfId="1" applyFont="1" applyFill="1" applyBorder="1"/>
    <xf numFmtId="44" fontId="2" fillId="10" borderId="1" xfId="1" applyNumberFormat="1" applyFont="1" applyFill="1" applyBorder="1"/>
    <xf numFmtId="44" fontId="2" fillId="12" borderId="1" xfId="1" applyNumberFormat="1" applyFont="1" applyFill="1" applyBorder="1"/>
    <xf numFmtId="44" fontId="2" fillId="14" borderId="1" xfId="1" applyNumberFormat="1" applyFont="1" applyFill="1" applyBorder="1"/>
    <xf numFmtId="44" fontId="2" fillId="14" borderId="5" xfId="1" applyNumberFormat="1" applyFont="1" applyFill="1" applyBorder="1"/>
    <xf numFmtId="0" fontId="2" fillId="14" borderId="13" xfId="0" applyFont="1" applyFill="1" applyBorder="1" applyAlignment="1">
      <alignment horizontal="center"/>
    </xf>
    <xf numFmtId="0" fontId="2" fillId="14" borderId="0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numFmt numFmtId="34" formatCode="_-* #,##0.00\ &quot;zł&quot;_-;\-* #,##0.00\ &quot;zł&quot;_-;_-* &quot;-&quot;??\ &quot;zł&quot;_-;_-@_-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numFmt numFmtId="34" formatCode="_-* #,##0.00\ &quot;zł&quot;_-;\-* #,##0.00\ &quot;zł&quot;_-;_-* &quot;-&quot;??\ &quot;zł&quot;_-;_-@_-"/>
      <fill>
        <patternFill patternType="solid">
          <fgColor indexed="64"/>
          <bgColor theme="1" tint="0.249977111117893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numFmt numFmtId="34" formatCode="_-* #,##0.00\ &quot;zł&quot;_-;\-* #,##0.00\ &quot;zł&quot;_-;_-* &quot;-&quot;??\ &quot;zł&quot;_-;_-@_-"/>
      <fill>
        <patternFill patternType="solid">
          <fgColor indexed="64"/>
          <bgColor theme="1" tint="0.249977111117893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numFmt numFmtId="34" formatCode="_-* #,##0.00\ &quot;zł&quot;_-;\-* #,##0.00\ &quot;zł&quot;_-;_-* &quot;-&quot;??\ &quot;zł&quot;_-;_-@_-"/>
      <fill>
        <patternFill patternType="solid">
          <fgColor indexed="64"/>
          <bgColor theme="1" tint="0.249977111117893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fill>
        <patternFill patternType="solid">
          <fgColor indexed="64"/>
          <bgColor theme="1" tint="0.249977111117893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00000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fill>
        <patternFill patternType="solid">
          <fgColor indexed="64"/>
          <bgColor theme="5" tint="-0.49998474074526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fill>
        <patternFill patternType="solid">
          <fgColor indexed="64"/>
          <bgColor theme="1" tint="0.24997711111789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numFmt numFmtId="34" formatCode="_-* #,##0.00\ &quot;zł&quot;_-;\-* #,##0.00\ &quot;zł&quot;_-;_-* &quot;-&quot;??\ &quot;zł&quot;_-;_-@_-"/>
      <fill>
        <patternFill patternType="solid">
          <fgColor indexed="64"/>
          <bgColor theme="5" tint="-0.49998474074526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fill>
        <patternFill patternType="solid">
          <fgColor indexed="64"/>
          <bgColor theme="5" tint="-0.49998474074526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fill>
        <patternFill patternType="solid">
          <fgColor indexed="64"/>
          <bgColor theme="3" tint="9.9978637043366805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fill>
        <patternFill patternType="solid">
          <fgColor indexed="64"/>
          <bgColor theme="3" tint="9.9978637043366805E-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3" tint="0.8999908444471571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3" tint="0.8999908444471571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3" tint="0.89999084444715716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3" tint="0.49998474074526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2" tint="-0.24997711111789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2" tint="-9.9978637043366805E-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5" tint="0.79998168889431442"/>
        </patternFill>
      </fill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5" tint="-0.24997711111789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3" tint="0.89999084444715716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9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brima"/>
        <charset val="238"/>
        <scheme val="none"/>
      </font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Ebrima"/>
        <charset val="238"/>
        <scheme val="none"/>
      </font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Blank" pivot="0" count="1" xr9:uid="{3243B348-5329-402E-83CF-4E1872C8E6B1}">
      <tableStyleElement type="wholeTable" dxfId="6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52602799650043"/>
          <c:y val="0.15505796150481191"/>
          <c:w val="0.81102952755905511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'1'!$B$4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'1'!$B$5:$B$7</c:f>
              <c:numCache>
                <c:formatCode>_("zł"* #,##0.00_);_("zł"* \(#,##0.00\);_("zł"* "-"??_);_(@_)</c:formatCode>
                <c:ptCount val="3"/>
                <c:pt idx="0">
                  <c:v>5700</c:v>
                </c:pt>
                <c:pt idx="1">
                  <c:v>3795</c:v>
                </c:pt>
                <c:pt idx="2">
                  <c:v>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1-41A9-8B9E-96FF4A0A3E81}"/>
            </c:ext>
          </c:extLst>
        </c:ser>
        <c:ser>
          <c:idx val="1"/>
          <c:order val="1"/>
          <c:tx>
            <c:strRef>
              <c:f>'1'!$C$4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'1'!$C$5:$C$7</c:f>
              <c:numCache>
                <c:formatCode>_("zł"* #,##0.00_);_("zł"* \(#,##0.00\);_("zł"* "-"??_);_(@_)</c:formatCode>
                <c:ptCount val="3"/>
                <c:pt idx="0">
                  <c:v>5655.5</c:v>
                </c:pt>
                <c:pt idx="1">
                  <c:v>4810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1-41A9-8B9E-96FF4A0A3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35280"/>
        <c:axId val="43735760"/>
      </c:barChart>
      <c:catAx>
        <c:axId val="4373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735760"/>
        <c:crosses val="autoZero"/>
        <c:auto val="1"/>
        <c:lblAlgn val="ctr"/>
        <c:lblOffset val="100"/>
        <c:noMultiLvlLbl val="0"/>
      </c:catAx>
      <c:valAx>
        <c:axId val="4373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73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Income</a:t>
            </a:r>
            <a:r>
              <a:rPr lang="pl-PL" baseline="0"/>
              <a:t> structure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6308096103371692"/>
          <c:y val="0.21047346199323552"/>
          <c:w val="0.44057382640059806"/>
          <c:h val="0.68249911327524171"/>
        </c:manualLayout>
      </c:layout>
      <c:doughnutChart>
        <c:varyColors val="1"/>
        <c:ser>
          <c:idx val="0"/>
          <c:order val="0"/>
          <c:tx>
            <c:strRef>
              <c:f>'1'!$B$12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AAD-4666-A1DA-1F00692DA584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AAD-4666-A1DA-1F00692DA584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AAD-4666-A1DA-1F00692DA584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AAD-4666-A1DA-1F00692DA584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AD-4666-A1DA-1F00692DA584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AD-4666-A1DA-1F00692DA584}"/>
              </c:ext>
            </c:extLst>
          </c:dPt>
          <c:dLbls>
            <c:dLbl>
              <c:idx val="0"/>
              <c:layout>
                <c:manualLayout>
                  <c:x val="0.13168722146281367"/>
                  <c:y val="-6.8938478206533663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AD-4666-A1DA-1F00692DA584}"/>
                </c:ext>
              </c:extLst>
            </c:dLbl>
            <c:dLbl>
              <c:idx val="1"/>
              <c:layout>
                <c:manualLayout>
                  <c:x val="0.26543205576098383"/>
                  <c:y val="2.8202104720854566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AAD-4666-A1DA-1F00692DA584}"/>
                </c:ext>
              </c:extLst>
            </c:dLbl>
            <c:dLbl>
              <c:idx val="2"/>
              <c:layout>
                <c:manualLayout>
                  <c:x val="0.34156373066917295"/>
                  <c:y val="-9.4007015736182378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AAD-4666-A1DA-1F00692DA584}"/>
                </c:ext>
              </c:extLst>
            </c:dLbl>
            <c:dLbl>
              <c:idx val="3"/>
              <c:layout>
                <c:manualLayout>
                  <c:x val="-0.23456786323063686"/>
                  <c:y val="-8.4606314162564034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AAD-4666-A1DA-1F00692DA584}"/>
                </c:ext>
              </c:extLst>
            </c:dLbl>
            <c:dLbl>
              <c:idx val="4"/>
              <c:layout>
                <c:manualLayout>
                  <c:x val="-0.16666663966387354"/>
                  <c:y val="-0.12534268764824308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AAD-4666-A1DA-1F00692DA584}"/>
                </c:ext>
              </c:extLst>
            </c:dLbl>
            <c:dLbl>
              <c:idx val="5"/>
              <c:layout>
                <c:manualLayout>
                  <c:x val="-0.23456786323063686"/>
                  <c:y val="-2.5068537529648632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AD-4666-A1DA-1F00692DA5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'1'!$A$13:$A$26</c15:sqref>
                  </c15:fullRef>
                </c:ext>
              </c:extLst>
              <c:f>'1'!$A$13:$A$18</c:f>
              <c:strCache>
                <c:ptCount val="6"/>
                <c:pt idx="0">
                  <c:v>Allowance</c:v>
                </c:pt>
                <c:pt idx="1">
                  <c:v>Financial</c:v>
                </c:pt>
                <c:pt idx="2">
                  <c:v>Gift</c:v>
                </c:pt>
                <c:pt idx="3">
                  <c:v>Other incoms</c:v>
                </c:pt>
                <c:pt idx="4">
                  <c:v>Salary</c:v>
                </c:pt>
                <c:pt idx="5">
                  <c:v>Scholarship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'1'!$B$13:$B$27</c15:sqref>
                  </c15:fullRef>
                </c:ext>
              </c:extLst>
              <c:f>'1'!$B$13:$B$18</c:f>
              <c:numCache>
                <c:formatCode>_("zł"* #,##0.00_);_("zł"* \(#,##0.00\);_("zł"* "-"??_);_(@_)</c:formatCode>
                <c:ptCount val="6"/>
                <c:pt idx="0">
                  <c:v>2500</c:v>
                </c:pt>
                <c:pt idx="1">
                  <c:v>300</c:v>
                </c:pt>
                <c:pt idx="2">
                  <c:v>500</c:v>
                </c:pt>
                <c:pt idx="3">
                  <c:v>100</c:v>
                </c:pt>
                <c:pt idx="4">
                  <c:v>1500</c:v>
                </c:pt>
                <c:pt idx="5">
                  <c:v>800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3AAD-4666-A1DA-1F00692DA584}"/>
            </c:ext>
          </c:extLst>
        </c:ser>
        <c:ser>
          <c:idx val="1"/>
          <c:order val="1"/>
          <c:tx>
            <c:strRef>
              <c:f>'1'!$C$12</c:f>
              <c:strCache>
                <c:ptCount val="1"/>
                <c:pt idx="0">
                  <c:v>Actual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AAD-4666-A1DA-1F00692DA584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AAD-4666-A1DA-1F00692DA584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AD-4666-A1DA-1F00692DA584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AAD-4666-A1DA-1F00692DA584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AAD-4666-A1DA-1F00692DA584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AD-4666-A1DA-1F00692DA584}"/>
              </c:ext>
            </c:extLst>
          </c:dPt>
          <c:dLbls>
            <c:dLbl>
              <c:idx val="0"/>
              <c:layout>
                <c:manualLayout>
                  <c:x val="0.26337444292562751"/>
                  <c:y val="-0.10967485169221264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AAD-4666-A1DA-1F00692DA584}"/>
                </c:ext>
              </c:extLst>
            </c:dLbl>
            <c:dLbl>
              <c:idx val="1"/>
              <c:layout>
                <c:manualLayout>
                  <c:x val="-6.1728385060693905E-2"/>
                  <c:y val="-0.11280841888341873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AAD-4666-A1DA-1F00692DA584}"/>
                </c:ext>
              </c:extLst>
            </c:dLbl>
            <c:dLbl>
              <c:idx val="2"/>
              <c:layout>
                <c:manualLayout>
                  <c:x val="0.16049380115780415"/>
                  <c:y val="-4.0736373485678982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AAD-4666-A1DA-1F00692DA584}"/>
                </c:ext>
              </c:extLst>
            </c:dLbl>
            <c:dLbl>
              <c:idx val="3"/>
              <c:layout>
                <c:manualLayout>
                  <c:x val="0.15843618832244769"/>
                  <c:y val="-3.4469239103266859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AD-4666-A1DA-1F00692DA584}"/>
                </c:ext>
              </c:extLst>
            </c:dLbl>
            <c:dLbl>
              <c:idx val="4"/>
              <c:layout>
                <c:manualLayout>
                  <c:x val="-0.15843618832244769"/>
                  <c:y val="7.2072045397739731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AAD-4666-A1DA-1F00692DA584}"/>
                </c:ext>
              </c:extLst>
            </c:dLbl>
            <c:dLbl>
              <c:idx val="5"/>
              <c:layout>
                <c:manualLayout>
                  <c:x val="-0.23662547606599332"/>
                  <c:y val="-8.4606314162564047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AD-4666-A1DA-1F00692DA5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'1'!$A$13:$A$26</c15:sqref>
                  </c15:fullRef>
                </c:ext>
              </c:extLst>
              <c:f>'1'!$A$13:$A$18</c:f>
              <c:strCache>
                <c:ptCount val="6"/>
                <c:pt idx="0">
                  <c:v>Allowance</c:v>
                </c:pt>
                <c:pt idx="1">
                  <c:v>Financial</c:v>
                </c:pt>
                <c:pt idx="2">
                  <c:v>Gift</c:v>
                </c:pt>
                <c:pt idx="3">
                  <c:v>Other incoms</c:v>
                </c:pt>
                <c:pt idx="4">
                  <c:v>Salary</c:v>
                </c:pt>
                <c:pt idx="5">
                  <c:v>Scholarship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'1'!$C$13:$C$27</c15:sqref>
                  </c15:fullRef>
                </c:ext>
              </c:extLst>
              <c:f>'1'!$C$13:$C$18</c:f>
              <c:numCache>
                <c:formatCode>_("zł"* #,##0.00_);_("zł"* \(#,##0.00\);_("zł"* "-"??_);_(@_)</c:formatCode>
                <c:ptCount val="6"/>
                <c:pt idx="0">
                  <c:v>250</c:v>
                </c:pt>
                <c:pt idx="1">
                  <c:v>105.5</c:v>
                </c:pt>
                <c:pt idx="2">
                  <c:v>0</c:v>
                </c:pt>
                <c:pt idx="3">
                  <c:v>800</c:v>
                </c:pt>
                <c:pt idx="4">
                  <c:v>4500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3AAD-4666-A1DA-1F00692DA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Expenses</a:t>
            </a:r>
            <a:r>
              <a:rPr lang="pl-PL" baseline="0"/>
              <a:t> structure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'1'!$G$12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EC-4F25-B717-D41F20AD01B0}"/>
              </c:ext>
            </c:extLst>
          </c:dPt>
          <c:dPt>
            <c:idx val="1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7EC-4F25-B717-D41F20AD01B0}"/>
              </c:ext>
            </c:extLst>
          </c:dPt>
          <c:dPt>
            <c:idx val="2"/>
            <c:bubble3D val="0"/>
            <c:spPr>
              <a:solidFill>
                <a:schemeClr val="accent3">
                  <a:shade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EC-4F25-B717-D41F20AD01B0}"/>
              </c:ext>
            </c:extLst>
          </c:dPt>
          <c:dPt>
            <c:idx val="3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7EC-4F25-B717-D41F20AD01B0}"/>
              </c:ext>
            </c:extLst>
          </c:dPt>
          <c:dPt>
            <c:idx val="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7EC-4F25-B717-D41F20AD01B0}"/>
              </c:ext>
            </c:extLst>
          </c:dPt>
          <c:dPt>
            <c:idx val="5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7EC-4F25-B717-D41F20AD01B0}"/>
              </c:ext>
            </c:extLst>
          </c:dPt>
          <c:dPt>
            <c:idx val="6"/>
            <c:bubble3D val="0"/>
            <c:spPr>
              <a:solidFill>
                <a:schemeClr val="accent3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7EC-4F25-B717-D41F20AD01B0}"/>
              </c:ext>
            </c:extLst>
          </c:dPt>
          <c:dPt>
            <c:idx val="7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7EC-4F25-B717-D41F20AD01B0}"/>
              </c:ext>
            </c:extLst>
          </c:dPt>
          <c:dPt>
            <c:idx val="8"/>
            <c:bubble3D val="0"/>
            <c:spPr>
              <a:solidFill>
                <a:schemeClr val="accent3">
                  <a:tint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7EC-4F25-B717-D41F20AD01B0}"/>
              </c:ext>
            </c:extLst>
          </c:dPt>
          <c:dLbls>
            <c:dLbl>
              <c:idx val="0"/>
              <c:layout>
                <c:manualLayout>
                  <c:x val="0.25277777777777777"/>
                  <c:y val="-0.21296296296296297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EC-4F25-B717-D41F20AD01B0}"/>
                </c:ext>
              </c:extLst>
            </c:dLbl>
            <c:dLbl>
              <c:idx val="1"/>
              <c:layout>
                <c:manualLayout>
                  <c:x val="0.27500000000000002"/>
                  <c:y val="9.7222222222222224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EC-4F25-B717-D41F20AD01B0}"/>
                </c:ext>
              </c:extLst>
            </c:dLbl>
            <c:dLbl>
              <c:idx val="2"/>
              <c:layout>
                <c:manualLayout>
                  <c:x val="-0.1111111111111111"/>
                  <c:y val="8.3333333333333329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EC-4F25-B717-D41F20AD01B0}"/>
                </c:ext>
              </c:extLst>
            </c:dLbl>
            <c:dLbl>
              <c:idx val="3"/>
              <c:layout>
                <c:manualLayout>
                  <c:x val="-0.13333333333333333"/>
                  <c:y val="0.1111111111111110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EC-4F25-B717-D41F20AD01B0}"/>
                </c:ext>
              </c:extLst>
            </c:dLbl>
            <c:dLbl>
              <c:idx val="4"/>
              <c:layout>
                <c:manualLayout>
                  <c:x val="-0.14166666666666669"/>
                  <c:y val="0.17592592592592585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7EC-4F25-B717-D41F20AD01B0}"/>
                </c:ext>
              </c:extLst>
            </c:dLbl>
            <c:dLbl>
              <c:idx val="5"/>
              <c:layout>
                <c:manualLayout>
                  <c:x val="-0.26944444444444443"/>
                  <c:y val="0.10185185185185185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7EC-4F25-B717-D41F20AD01B0}"/>
                </c:ext>
              </c:extLst>
            </c:dLbl>
            <c:dLbl>
              <c:idx val="6"/>
              <c:layout>
                <c:manualLayout>
                  <c:x val="-0.26666666666666666"/>
                  <c:y val="-0.17129629629629631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7EC-4F25-B717-D41F20AD01B0}"/>
                </c:ext>
              </c:extLst>
            </c:dLbl>
            <c:dLbl>
              <c:idx val="7"/>
              <c:layout>
                <c:manualLayout>
                  <c:x val="-0.19166666666666668"/>
                  <c:y val="-0.21759259259259259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7EC-4F25-B717-D41F20AD01B0}"/>
                </c:ext>
              </c:extLst>
            </c:dLbl>
            <c:dLbl>
              <c:idx val="8"/>
              <c:layout>
                <c:manualLayout>
                  <c:x val="0.25833333333333336"/>
                  <c:y val="9.2592592592592587E-3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7EC-4F25-B717-D41F20AD01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'1'!$F$13:$F$27</c15:sqref>
                  </c15:fullRef>
                </c:ext>
              </c:extLst>
              <c:f>'1'!$F$13:$F$21</c:f>
              <c:strCache>
                <c:ptCount val="9"/>
                <c:pt idx="0">
                  <c:v>Accomodation</c:v>
                </c:pt>
                <c:pt idx="1">
                  <c:v>Clothing</c:v>
                </c:pt>
                <c:pt idx="2">
                  <c:v>Entertainment</c:v>
                </c:pt>
                <c:pt idx="3">
                  <c:v>Groceries</c:v>
                </c:pt>
                <c:pt idx="4">
                  <c:v>Health&amp;Beauty</c:v>
                </c:pt>
                <c:pt idx="5">
                  <c:v>Multimedia</c:v>
                </c:pt>
                <c:pt idx="6">
                  <c:v>Other expences</c:v>
                </c:pt>
                <c:pt idx="7">
                  <c:v>Studies</c:v>
                </c:pt>
                <c:pt idx="8">
                  <c:v>Transportation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'1'!$G$13:$G$27</c15:sqref>
                  </c15:fullRef>
                </c:ext>
              </c:extLst>
              <c:f>'1'!$G$13:$G$21</c:f>
              <c:numCache>
                <c:formatCode>_("zł"* #,##0.00_);_("zł"* \(#,##0.00\);_("zł"* "-"??_);_(@_)</c:formatCode>
                <c:ptCount val="9"/>
                <c:pt idx="0">
                  <c:v>1735</c:v>
                </c:pt>
                <c:pt idx="1">
                  <c:v>200</c:v>
                </c:pt>
                <c:pt idx="2">
                  <c:v>300</c:v>
                </c:pt>
                <c:pt idx="3">
                  <c:v>750</c:v>
                </c:pt>
                <c:pt idx="4">
                  <c:v>130</c:v>
                </c:pt>
                <c:pt idx="5">
                  <c:v>130</c:v>
                </c:pt>
                <c:pt idx="6">
                  <c:v>200</c:v>
                </c:pt>
                <c:pt idx="7">
                  <c:v>200</c:v>
                </c:pt>
                <c:pt idx="8">
                  <c:v>150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17EC-4F25-B717-D41F20AD01B0}"/>
            </c:ext>
          </c:extLst>
        </c:ser>
        <c:ser>
          <c:idx val="1"/>
          <c:order val="1"/>
          <c:tx>
            <c:strRef>
              <c:f>'1'!$H$12</c:f>
              <c:strCache>
                <c:ptCount val="1"/>
                <c:pt idx="0">
                  <c:v>Actual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EC-4F25-B717-D41F20AD01B0}"/>
              </c:ext>
            </c:extLst>
          </c:dPt>
          <c:dPt>
            <c:idx val="1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EC-4F25-B717-D41F20AD01B0}"/>
              </c:ext>
            </c:extLst>
          </c:dPt>
          <c:dPt>
            <c:idx val="2"/>
            <c:bubble3D val="0"/>
            <c:spPr>
              <a:solidFill>
                <a:schemeClr val="accent3">
                  <a:shade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EC-4F25-B717-D41F20AD01B0}"/>
              </c:ext>
            </c:extLst>
          </c:dPt>
          <c:dPt>
            <c:idx val="3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7EC-4F25-B717-D41F20AD01B0}"/>
              </c:ext>
            </c:extLst>
          </c:dPt>
          <c:dPt>
            <c:idx val="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7EC-4F25-B717-D41F20AD01B0}"/>
              </c:ext>
            </c:extLst>
          </c:dPt>
          <c:dPt>
            <c:idx val="5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7EC-4F25-B717-D41F20AD01B0}"/>
              </c:ext>
            </c:extLst>
          </c:dPt>
          <c:dPt>
            <c:idx val="6"/>
            <c:bubble3D val="0"/>
            <c:spPr>
              <a:solidFill>
                <a:schemeClr val="accent3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7EC-4F25-B717-D41F20AD01B0}"/>
              </c:ext>
            </c:extLst>
          </c:dPt>
          <c:dPt>
            <c:idx val="7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7EC-4F25-B717-D41F20AD01B0}"/>
              </c:ext>
            </c:extLst>
          </c:dPt>
          <c:dPt>
            <c:idx val="8"/>
            <c:bubble3D val="0"/>
            <c:spPr>
              <a:solidFill>
                <a:schemeClr val="accent3">
                  <a:tint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7EC-4F25-B717-D41F20AD01B0}"/>
              </c:ext>
            </c:extLst>
          </c:dPt>
          <c:dLbls>
            <c:dLbl>
              <c:idx val="0"/>
              <c:layout>
                <c:manualLayout>
                  <c:x val="0.16944444444444445"/>
                  <c:y val="9.2592592592592587E-3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EC-4F25-B717-D41F20AD01B0}"/>
                </c:ext>
              </c:extLst>
            </c:dLbl>
            <c:dLbl>
              <c:idx val="1"/>
              <c:layout>
                <c:manualLayout>
                  <c:x val="0.17499999999999999"/>
                  <c:y val="-2.7777777777777776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EC-4F25-B717-D41F20AD01B0}"/>
                </c:ext>
              </c:extLst>
            </c:dLbl>
            <c:dLbl>
              <c:idx val="2"/>
              <c:layout>
                <c:manualLayout>
                  <c:x val="0.26666666666666666"/>
                  <c:y val="-0.21759259259259259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EC-4F25-B717-D41F20AD01B0}"/>
                </c:ext>
              </c:extLst>
            </c:dLbl>
            <c:dLbl>
              <c:idx val="3"/>
              <c:layout>
                <c:manualLayout>
                  <c:x val="-0.17499999999999999"/>
                  <c:y val="0.11574074074074074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7EC-4F25-B717-D41F20AD01B0}"/>
                </c:ext>
              </c:extLst>
            </c:dLbl>
            <c:dLbl>
              <c:idx val="4"/>
              <c:layout>
                <c:manualLayout>
                  <c:x val="-8.8888888888888892E-2"/>
                  <c:y val="1.8518518518518434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7EC-4F25-B717-D41F20AD01B0}"/>
                </c:ext>
              </c:extLst>
            </c:dLbl>
            <c:dLbl>
              <c:idx val="5"/>
              <c:layout>
                <c:manualLayout>
                  <c:x val="-0.24444444444444444"/>
                  <c:y val="-5.5555555555555552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7EC-4F25-B717-D41F20AD01B0}"/>
                </c:ext>
              </c:extLst>
            </c:dLbl>
            <c:dLbl>
              <c:idx val="6"/>
              <c:layout>
                <c:manualLayout>
                  <c:x val="-4.6089039629059698E-2"/>
                  <c:y val="-0.11111125186775266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7EC-4F25-B717-D41F20AD01B0}"/>
                </c:ext>
              </c:extLst>
            </c:dLbl>
            <c:dLbl>
              <c:idx val="7"/>
              <c:layout>
                <c:manualLayout>
                  <c:x val="0.19166666666666668"/>
                  <c:y val="-7.870370370370372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7EC-4F25-B717-D41F20AD01B0}"/>
                </c:ext>
              </c:extLst>
            </c:dLbl>
            <c:dLbl>
              <c:idx val="8"/>
              <c:layout>
                <c:manualLayout>
                  <c:x val="0.40277777777777779"/>
                  <c:y val="-0.1435185185185185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7EC-4F25-B717-D41F20AD01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'1'!$F$13:$F$27</c15:sqref>
                  </c15:fullRef>
                </c:ext>
              </c:extLst>
              <c:f>'1'!$F$13:$F$21</c:f>
              <c:strCache>
                <c:ptCount val="9"/>
                <c:pt idx="0">
                  <c:v>Accomodation</c:v>
                </c:pt>
                <c:pt idx="1">
                  <c:v>Clothing</c:v>
                </c:pt>
                <c:pt idx="2">
                  <c:v>Entertainment</c:v>
                </c:pt>
                <c:pt idx="3">
                  <c:v>Groceries</c:v>
                </c:pt>
                <c:pt idx="4">
                  <c:v>Health&amp;Beauty</c:v>
                </c:pt>
                <c:pt idx="5">
                  <c:v>Multimedia</c:v>
                </c:pt>
                <c:pt idx="6">
                  <c:v>Other expences</c:v>
                </c:pt>
                <c:pt idx="7">
                  <c:v>Studies</c:v>
                </c:pt>
                <c:pt idx="8">
                  <c:v>Transportation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'1'!$H$13:$H$27</c15:sqref>
                  </c15:fullRef>
                </c:ext>
              </c:extLst>
              <c:f>'1'!$H$13:$H$21</c:f>
              <c:numCache>
                <c:formatCode>_("zł"* #,##0.00_);_("zł"* \(#,##0.00\);_("zł"* "-"??_);_(@_)</c:formatCode>
                <c:ptCount val="9"/>
                <c:pt idx="0">
                  <c:v>2000</c:v>
                </c:pt>
                <c:pt idx="1">
                  <c:v>80</c:v>
                </c:pt>
                <c:pt idx="2">
                  <c:v>85</c:v>
                </c:pt>
                <c:pt idx="3">
                  <c:v>1715</c:v>
                </c:pt>
                <c:pt idx="4">
                  <c:v>100</c:v>
                </c:pt>
                <c:pt idx="5">
                  <c:v>150</c:v>
                </c:pt>
                <c:pt idx="6">
                  <c:v>500</c:v>
                </c:pt>
                <c:pt idx="7">
                  <c:v>100</c:v>
                </c:pt>
                <c:pt idx="8">
                  <c:v>80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17EC-4F25-B717-D41F20AD0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10</xdr:col>
      <xdr:colOff>9525</xdr:colOff>
      <xdr:row>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8D89E7-0D68-67F9-E262-62C6AEAB1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28</xdr:row>
      <xdr:rowOff>52387</xdr:rowOff>
    </xdr:from>
    <xdr:to>
      <xdr:col>5</xdr:col>
      <xdr:colOff>609600</xdr:colOff>
      <xdr:row>43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D0A34-1D22-73E5-19F8-37ACB2555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981074</xdr:colOff>
      <xdr:row>28</xdr:row>
      <xdr:rowOff>23812</xdr:rowOff>
    </xdr:from>
    <xdr:to>
      <xdr:col>11</xdr:col>
      <xdr:colOff>619124</xdr:colOff>
      <xdr:row>43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7D2CF-3CEE-13AE-F7B2-59049BE7B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B2F6C-7786-4F5A-BD6B-15E8FCB02A90}" name="Income_1" displayName="Income_1" ref="A12:D28" totalsRowCount="1" headerRowDxfId="61" dataDxfId="60" totalsRowDxfId="56" tableBorderDxfId="59" dataCellStyle="Currency">
  <autoFilter ref="A12:D27" xr:uid="{CCDB2F6C-7786-4F5A-BD6B-15E8FCB02A90}"/>
  <tableColumns count="4">
    <tableColumn id="1" xr3:uid="{FF95C400-75C4-455F-9228-494655A1AE12}" name="Source" totalsRowLabel="Total" totalsRowDxfId="58"/>
    <tableColumn id="2" xr3:uid="{713C6FE6-C3C1-4900-8705-CC518AEC9776}" name="Planned" totalsRowFunction="sum" totalsRowDxfId="55" dataCellStyle="Currency"/>
    <tableColumn id="3" xr3:uid="{2B2A9A35-EE56-4C89-874A-A7FA33823485}" name="Actual" totalsRowFunction="sum" totalsRowDxfId="54" dataCellStyle="Currency">
      <calculatedColumnFormula array="1">_xlfn.XLOOKUP(A13,INDIRECT("'Finanse-wersja-ostatnia-Karolina-Gądor.xlsx'!incomes_"&amp;$A$2&amp;"[Category]"),INDIRECT("'Finanse-wersja-ostatnia-Karolina-Gądor.xlsx'!incomes_"&amp;$A$2&amp;"[Total]"),0,0,1)</calculatedColumnFormula>
    </tableColumn>
    <tableColumn id="4" xr3:uid="{57F84D94-B58E-45DD-90BC-88B05BD41D25}" name="Left" totalsRowFunction="sum" totalsRowDxfId="57" dataCellStyle="Currency" totalsRowCellStyle="Currency">
      <calculatedColumnFormula>C13-B13</calculatedColumnFormula>
    </tableColumn>
  </tableColumns>
  <tableStyleInfo name="TableBlank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152BE-2900-4DD5-9F45-6684A45F594E}" name="Expenses_1" displayName="Expenses_1" ref="F12:I28" totalsRowCount="1" headerRowDxfId="47" totalsRowDxfId="41" headerRowBorderDxfId="52" tableBorderDxfId="53" totalsRowBorderDxfId="42" totalsRowCellStyle="Currency">
  <autoFilter ref="F12:I27" xr:uid="{E08152BE-2900-4DD5-9F45-6684A45F594E}"/>
  <tableColumns count="4">
    <tableColumn id="1" xr3:uid="{76D6CBDC-3548-4801-AB70-B3DE8F0566BF}" name="Category" totalsRowLabel="Total" dataDxfId="51" totalsRowDxfId="46"/>
    <tableColumn id="2" xr3:uid="{2AB8D20A-BC55-4CE9-85C7-DC1C64EE27C2}" name="Planned" totalsRowFunction="sum" dataDxfId="50" totalsRowDxfId="44" dataCellStyle="Currency"/>
    <tableColumn id="3" xr3:uid="{11E89C1A-877F-45DB-BA1E-54843423EECB}" name="Actual" totalsRowFunction="sum" dataDxfId="49" totalsRowDxfId="43" dataCellStyle="Currency"/>
    <tableColumn id="4" xr3:uid="{5A526CDE-BEB1-4DDC-8678-6F4C58B8F391}" name="Left" totalsRowFunction="sum" dataDxfId="48" totalsRowDxfId="45" dataCellStyle="Currency" totalsRowCellStyle="Currency">
      <calculatedColumnFormula>G13-H13</calculatedColumnFormula>
    </tableColumn>
  </tableColumns>
  <tableStyleInfo name="TableBlank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A78553-F26A-4156-B389-E3490B0285C3}" name="Bills_1" displayName="Bills_1" ref="K12:N28" totalsRowCount="1" headerRowDxfId="23" totalsRowDxfId="14" headerRowBorderDxfId="21" tableBorderDxfId="22" totalsRowBorderDxfId="15" totalsRowCellStyle="Currency">
  <autoFilter ref="K12:N27" xr:uid="{12A78553-F26A-4156-B389-E3490B0285C3}"/>
  <tableColumns count="4">
    <tableColumn id="1" xr3:uid="{340BD386-D8EE-4E53-AAF1-CB1FF3832736}" name="Bill" totalsRowLabel="Total" dataDxfId="20" totalsRowDxfId="19"/>
    <tableColumn id="2" xr3:uid="{7601631A-850B-4765-8765-243E4352005E}" name="Due" dataDxfId="18" totalsRowDxfId="17"/>
    <tableColumn id="3" xr3:uid="{8C9B053A-E034-4902-B59E-2D91C8847714}" name="Planned" totalsRowFunction="sum" dataDxfId="16" totalsRowDxfId="13" dataCellStyle="Currency" totalsRowCellStyle="Currency"/>
    <tableColumn id="4" xr3:uid="{4B763182-A373-46C3-B9B5-FAF30EB66181}" name="Actual" totalsRowFunction="count" dataDxfId="40" totalsRowDxfId="39" dataCellStyle="Currency" totalsRowCellStyle="Currency"/>
  </tableColumns>
  <tableStyleInfo name="TableBlank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68D804-E5D1-47C3-99B5-E513C4A38C79}" name="Subscriptions_1" displayName="Subscriptions_1" ref="P12:S28" totalsRowCount="1" headerRowDxfId="32" totalsRowDxfId="11" headerRowBorderDxfId="37" tableBorderDxfId="38" totalsRowBorderDxfId="12" totalsRowCellStyle="Currency">
  <autoFilter ref="P12:S27" xr:uid="{8768D804-E5D1-47C3-99B5-E513C4A38C79}"/>
  <tableColumns count="4">
    <tableColumn id="1" xr3:uid="{5A4AFE03-14DF-4CE6-A22C-F3E947D7A241}" name="Service" totalsRowLabel="Total" dataDxfId="36" totalsRowDxfId="31"/>
    <tableColumn id="2" xr3:uid="{D363C9BD-8FD3-4065-8700-D4F7306291D8}" name="Due" dataDxfId="35" totalsRowDxfId="30"/>
    <tableColumn id="3" xr3:uid="{CA7CA87D-5B70-41DA-80E8-17A04E511A7C}" name="Planned" totalsRowFunction="sum" dataDxfId="34" totalsRowDxfId="10" dataCellStyle="Currency" totalsRowCellStyle="Currency"/>
    <tableColumn id="4" xr3:uid="{2962D119-A139-46EB-BF06-0EDC4BB88B8D}" name="Actual" totalsRowFunction="sum" dataDxfId="33" totalsRowDxfId="7" dataCellStyle="Currency" totalsRowCellStyle="Currency"/>
  </tableColumns>
  <tableStyleInfo name="TableBlank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8D960D-91F3-4FEE-9763-13933AC657BA}" name="Savings_1" displayName="Savings_1" ref="U12:X28" totalsRowCount="1" headerRowDxfId="24" totalsRowDxfId="8" headerRowBorderDxfId="28" tableBorderDxfId="29" totalsRowBorderDxfId="9" totalsRowCellStyle="Currency">
  <autoFilter ref="U12:X27" xr:uid="{A88D960D-91F3-4FEE-9763-13933AC657BA}"/>
  <tableColumns count="4">
    <tableColumn id="1" xr3:uid="{CBDB352C-3FE8-4C98-AC84-C52DF0DE4AA6}" name="Aim" totalsRowLabel="Total" dataDxfId="27" totalsRowDxfId="4"/>
    <tableColumn id="2" xr3:uid="{2751F8FF-C539-46B0-86D3-C03CAB8FAC1F}" name="Planned" totalsRowFunction="sum" dataDxfId="26" totalsRowDxfId="3" dataCellStyle="Currency" totalsRowCellStyle="Currency"/>
    <tableColumn id="3" xr3:uid="{5F0120CC-6DC3-4E14-B842-C7F7DAC972F0}" name="Actual" totalsRowFunction="sum" dataDxfId="25" totalsRowDxfId="2" dataCellStyle="Currency" totalsRowCellStyle="Currency"/>
    <tableColumn id="4" xr3:uid="{13E93E7E-9DD4-4BF7-8BFB-776DBF2A3C17}" name="Left" totalsRowFunction="sum" dataDxfId="0" totalsRowDxfId="1" dataCellStyle="Currency" totalsRowCellStyle="Currency">
      <calculatedColumnFormula>Savings_1[[#This Row],[Planned]]-Savings_1[[#This Row],[Actual]]</calculatedColumnFormula>
    </tableColumn>
  </tableColumns>
  <tableStyleInfo name="TableBlank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A9CF-7FC3-434E-879A-4CEC8ED98229}">
  <dimension ref="A1:X33"/>
  <sheetViews>
    <sheetView tabSelected="1" topLeftCell="A4" workbookViewId="0">
      <selection activeCell="O43" sqref="O43"/>
    </sheetView>
  </sheetViews>
  <sheetFormatPr defaultRowHeight="15" x14ac:dyDescent="0.25"/>
  <cols>
    <col min="1" max="1" width="13.7109375" customWidth="1"/>
    <col min="2" max="4" width="12.7109375" bestFit="1" customWidth="1"/>
    <col min="6" max="6" width="15" customWidth="1"/>
    <col min="7" max="9" width="12.7109375" bestFit="1" customWidth="1"/>
    <col min="11" max="12" width="13.85546875" customWidth="1"/>
    <col min="13" max="13" width="12.7109375" bestFit="1" customWidth="1"/>
    <col min="16" max="17" width="16.7109375" customWidth="1"/>
    <col min="18" max="18" width="11" bestFit="1" customWidth="1"/>
    <col min="21" max="21" width="17" customWidth="1"/>
    <col min="22" max="22" width="12.7109375" bestFit="1" customWidth="1"/>
    <col min="23" max="23" width="11" bestFit="1" customWidth="1"/>
    <col min="24" max="24" width="12.7109375" bestFit="1" customWidth="1"/>
  </cols>
  <sheetData>
    <row r="1" spans="1:24" x14ac:dyDescent="0.25">
      <c r="A1" s="26" t="s">
        <v>1</v>
      </c>
      <c r="B1" s="26"/>
      <c r="C1" s="26"/>
      <c r="D1" s="20"/>
      <c r="E1" s="33"/>
    </row>
    <row r="2" spans="1:24" x14ac:dyDescent="0.25">
      <c r="A2" s="27" t="str" cm="1">
        <f t="array" aca="1" ref="A2" ca="1">RIGHT(CELL("filename",A1),LEN(CELL("filename",A1))-FIND("]",CELL("filename",A1)))</f>
        <v>1</v>
      </c>
      <c r="B2" s="27"/>
      <c r="C2" s="27"/>
      <c r="D2" s="21"/>
      <c r="E2" s="33"/>
    </row>
    <row r="3" spans="1:24" x14ac:dyDescent="0.25">
      <c r="E3" s="33"/>
    </row>
    <row r="4" spans="1:24" x14ac:dyDescent="0.25">
      <c r="B4" s="19" t="s">
        <v>2</v>
      </c>
      <c r="C4" s="19" t="s">
        <v>3</v>
      </c>
      <c r="D4" s="31" t="s">
        <v>4</v>
      </c>
      <c r="E4" s="34"/>
    </row>
    <row r="5" spans="1:24" x14ac:dyDescent="0.25">
      <c r="A5" s="19" t="s">
        <v>45</v>
      </c>
      <c r="B5" s="30" cm="1">
        <f t="array" aca="1" ref="B5" ca="1">INDIRECT($A5&amp;"_1[[#Totals];["&amp;B$4&amp;"]]")</f>
        <v>5700</v>
      </c>
      <c r="C5" s="30" cm="1">
        <f t="array" aca="1" ref="C5" ca="1">INDIRECT($A5&amp;"_1[[#Totals];["&amp;C$4&amp;"]]")</f>
        <v>5655.5</v>
      </c>
      <c r="D5" s="30" cm="1">
        <f t="array" aca="1" ref="D5" ca="1">INDIRECT($A5&amp;"_1[[#Totals];["&amp;D$4&amp;"]]")</f>
        <v>-44.5</v>
      </c>
      <c r="E5" s="35"/>
    </row>
    <row r="6" spans="1:24" x14ac:dyDescent="0.25">
      <c r="A6" s="19" t="s">
        <v>5</v>
      </c>
      <c r="B6" s="30" cm="1">
        <f t="array" aca="1" ref="B6" ca="1">INDIRECT($A6&amp;"_1[[#Totals];["&amp;B$4&amp;"]]")</f>
        <v>3795</v>
      </c>
      <c r="C6" s="30" cm="1">
        <f t="array" aca="1" ref="C6" ca="1">INDIRECT($A6&amp;"_1[[#Totals];["&amp;C$4&amp;"]]")</f>
        <v>4810</v>
      </c>
      <c r="D6" s="30" cm="1">
        <f t="array" aca="1" ref="D6" ca="1">INDIRECT($A6&amp;"_1[[#Totals];["&amp;D$4&amp;"]]")</f>
        <v>-1015</v>
      </c>
      <c r="E6" s="34"/>
    </row>
    <row r="7" spans="1:24" x14ac:dyDescent="0.25">
      <c r="A7" s="19" t="s">
        <v>6</v>
      </c>
      <c r="B7" s="30" cm="1">
        <f t="array" aca="1" ref="B7" ca="1">INDIRECT($A7&amp;"_1[[#Totals];["&amp;B$4&amp;"]]")</f>
        <v>1905</v>
      </c>
      <c r="C7" s="30" cm="1">
        <f t="array" aca="1" ref="C7" ca="1">INDIRECT($A7&amp;"_1[[#Totals];["&amp;C$4&amp;"]]")</f>
        <v>0</v>
      </c>
      <c r="D7" s="30" cm="1">
        <f t="array" aca="1" ref="D7" ca="1">INDIRECT($A7&amp;"_1[[#Totals];["&amp;D$4&amp;"]]")</f>
        <v>1905</v>
      </c>
      <c r="E7" s="34"/>
    </row>
    <row r="8" spans="1:24" x14ac:dyDescent="0.25">
      <c r="E8" s="34"/>
    </row>
    <row r="9" spans="1:24" x14ac:dyDescent="0.25">
      <c r="A9" s="19" t="s">
        <v>7</v>
      </c>
      <c r="B9" s="30">
        <f ca="1">B5-B6-B7</f>
        <v>0</v>
      </c>
      <c r="C9" s="30">
        <f ca="1">C5-C6-C7</f>
        <v>845.5</v>
      </c>
      <c r="D9" s="32">
        <f ca="1">D5+D6+D7</f>
        <v>845.5</v>
      </c>
      <c r="E9" s="34"/>
    </row>
    <row r="10" spans="1:24" x14ac:dyDescent="0.25">
      <c r="E10" s="33"/>
    </row>
    <row r="11" spans="1:24" ht="16.5" x14ac:dyDescent="0.3">
      <c r="A11" s="87" t="s">
        <v>45</v>
      </c>
      <c r="B11" s="88"/>
      <c r="C11" s="88"/>
      <c r="D11" s="88"/>
      <c r="E11" s="3"/>
      <c r="F11" s="89" t="s">
        <v>5</v>
      </c>
      <c r="G11" s="90"/>
      <c r="H11" s="90"/>
      <c r="I11" s="91"/>
      <c r="J11" s="3"/>
      <c r="K11" s="28" t="s">
        <v>31</v>
      </c>
      <c r="L11" s="28"/>
      <c r="M11" s="29"/>
      <c r="N11" s="29"/>
      <c r="O11" s="3"/>
      <c r="P11" s="24" t="s">
        <v>33</v>
      </c>
      <c r="Q11" s="24"/>
      <c r="R11" s="25"/>
      <c r="S11" s="25"/>
      <c r="T11" s="3"/>
      <c r="U11" s="85" t="s">
        <v>6</v>
      </c>
      <c r="V11" s="86"/>
      <c r="W11" s="86"/>
      <c r="X11" s="86"/>
    </row>
    <row r="12" spans="1:24" ht="16.5" x14ac:dyDescent="0.3">
      <c r="A12" s="4" t="s">
        <v>28</v>
      </c>
      <c r="B12" s="4" t="s">
        <v>2</v>
      </c>
      <c r="C12" s="4" t="s">
        <v>3</v>
      </c>
      <c r="D12" s="22" t="s">
        <v>4</v>
      </c>
      <c r="E12" s="3"/>
      <c r="F12" s="46" t="s">
        <v>29</v>
      </c>
      <c r="G12" s="47" t="s">
        <v>2</v>
      </c>
      <c r="H12" s="47" t="s">
        <v>3</v>
      </c>
      <c r="I12" s="48" t="s">
        <v>4</v>
      </c>
      <c r="J12" s="3"/>
      <c r="K12" s="55" t="s">
        <v>30</v>
      </c>
      <c r="L12" s="56" t="s">
        <v>38</v>
      </c>
      <c r="M12" s="57" t="s">
        <v>2</v>
      </c>
      <c r="N12" s="58" t="s">
        <v>3</v>
      </c>
      <c r="O12" s="3"/>
      <c r="P12" s="65" t="s">
        <v>32</v>
      </c>
      <c r="Q12" s="66" t="s">
        <v>38</v>
      </c>
      <c r="R12" s="67" t="s">
        <v>2</v>
      </c>
      <c r="S12" s="68" t="s">
        <v>3</v>
      </c>
      <c r="T12" s="3"/>
      <c r="U12" s="75" t="s">
        <v>36</v>
      </c>
      <c r="V12" s="76" t="s">
        <v>2</v>
      </c>
      <c r="W12" s="77" t="s">
        <v>3</v>
      </c>
      <c r="X12" s="76" t="s">
        <v>4</v>
      </c>
    </row>
    <row r="13" spans="1:24" ht="16.5" x14ac:dyDescent="0.3">
      <c r="A13" s="18" t="s">
        <v>8</v>
      </c>
      <c r="B13" s="17">
        <v>2500</v>
      </c>
      <c r="C13" s="17" cm="1">
        <f t="array" aca="1" ref="C13" ca="1">_xlfn.XLOOKUP(A13,INDIRECT("'Finanse-wersja-ostatnia-Karolina-Gądor.xlsx'!incomes_"&amp;$A$2&amp;"[Category]"),INDIRECT("'Finanse-wersja-ostatnia-Karolina-Gądor.xlsx'!incomes_"&amp;$A$2&amp;"[Total]"),0,0,1)</f>
        <v>250</v>
      </c>
      <c r="D13" s="17">
        <f ca="1">C13-B13</f>
        <v>-2250</v>
      </c>
      <c r="E13" s="3"/>
      <c r="F13" s="43" t="s">
        <v>22</v>
      </c>
      <c r="G13" s="16">
        <v>1735</v>
      </c>
      <c r="H13" s="16" cm="1">
        <f t="array" aca="1" ref="H13" ca="1">-_xlfn.XLOOKUP(F13,INDIRECT("'Finanse-wersja-ostatnia-Karolina-Gądor.xlsx'!expenses_"&amp;$A$2&amp;"[Category]"),INDIRECT("'Finanse-wersja-ostatnia-Karolina-Gądor.xlsx'!expenses_"&amp;$A$2&amp;"[Total]"),0,0,1)</f>
        <v>2000</v>
      </c>
      <c r="I13" s="45">
        <f ca="1">G13-H13</f>
        <v>-265</v>
      </c>
      <c r="J13" s="3"/>
      <c r="K13" s="52" t="s">
        <v>0</v>
      </c>
      <c r="L13" s="23">
        <f ca="1">DATE(2025,$A$2,10)</f>
        <v>45667</v>
      </c>
      <c r="M13" s="15">
        <v>2200</v>
      </c>
      <c r="N13" s="54"/>
      <c r="O13" s="3"/>
      <c r="P13" s="63" t="s">
        <v>35</v>
      </c>
      <c r="Q13" s="37">
        <f ca="1">DATE(2025,$A$2,26)</f>
        <v>45683</v>
      </c>
      <c r="R13" s="38">
        <v>12.99</v>
      </c>
      <c r="S13" s="64"/>
      <c r="T13" s="3"/>
      <c r="U13" s="73" t="s">
        <v>42</v>
      </c>
      <c r="V13" s="7">
        <v>500</v>
      </c>
      <c r="W13" s="74"/>
      <c r="X13" s="74">
        <f>Savings_1[[#This Row],[Planned]]-Savings_1[[#This Row],[Actual]]</f>
        <v>500</v>
      </c>
    </row>
    <row r="14" spans="1:24" ht="16.5" x14ac:dyDescent="0.3">
      <c r="A14" s="5" t="s">
        <v>9</v>
      </c>
      <c r="B14" s="17">
        <v>300</v>
      </c>
      <c r="C14" s="17" cm="1">
        <f t="array" aca="1" ref="C14" ca="1">_xlfn.XLOOKUP(A14,INDIRECT("'Finanse-wersja-ostatnia-Karolina-Gądor.xlsx'!incomes_"&amp;$A$2&amp;"[Category]"),INDIRECT("'Finanse-wersja-ostatnia-Karolina-Gądor.xlsx'!incomes_"&amp;$A$2&amp;"[Total]"),0,0,1)</f>
        <v>105.5</v>
      </c>
      <c r="D14" s="17">
        <f t="shared" ref="D14:D27" ca="1" si="0">C14-B14</f>
        <v>-194.5</v>
      </c>
      <c r="E14" s="3"/>
      <c r="F14" s="43" t="s">
        <v>14</v>
      </c>
      <c r="G14" s="16">
        <v>200</v>
      </c>
      <c r="H14" s="16" cm="1">
        <f t="array" aca="1" ref="H14" ca="1">-_xlfn.XLOOKUP(F14,INDIRECT("'Finanse-wersja-ostatnia-Karolina-Gądor.xlsx'!expenses_"&amp;$A$2&amp;"[Category]"),INDIRECT("'Finanse-wersja-ostatnia-Karolina-Gądor.xlsx'!expenses_"&amp;$A$2&amp;"[Total]"),0,0,1)</f>
        <v>80</v>
      </c>
      <c r="I14" s="45">
        <f t="shared" ref="I14:I27" ca="1" si="1">G14-H14</f>
        <v>120</v>
      </c>
      <c r="J14" s="3"/>
      <c r="K14" s="53" t="s">
        <v>23</v>
      </c>
      <c r="L14" s="23">
        <f ca="1">DATE(2025,$A$2,15)</f>
        <v>45672</v>
      </c>
      <c r="M14" s="15">
        <v>115</v>
      </c>
      <c r="N14" s="54"/>
      <c r="O14" s="3"/>
      <c r="P14" s="63" t="s">
        <v>34</v>
      </c>
      <c r="Q14" s="37">
        <f ca="1">DATE(2025,$A$2,19)</f>
        <v>45676</v>
      </c>
      <c r="R14" s="38">
        <v>33</v>
      </c>
      <c r="S14" s="64"/>
      <c r="T14" s="3"/>
      <c r="U14" s="73" t="s">
        <v>43</v>
      </c>
      <c r="V14" s="7">
        <v>800</v>
      </c>
      <c r="W14" s="74"/>
      <c r="X14" s="74">
        <f>Savings_1[[#This Row],[Planned]]-Savings_1[[#This Row],[Actual]]</f>
        <v>800</v>
      </c>
    </row>
    <row r="15" spans="1:24" ht="16.5" x14ac:dyDescent="0.3">
      <c r="A15" s="5" t="s">
        <v>10</v>
      </c>
      <c r="B15" s="17">
        <v>500</v>
      </c>
      <c r="C15" s="17" cm="1">
        <f t="array" aca="1" ref="C15" ca="1">_xlfn.XLOOKUP(A15,INDIRECT("'Finanse-wersja-ostatnia-Karolina-Gądor.xlsx'!incomes_"&amp;$A$2&amp;"[Category]"),INDIRECT("'Finanse-wersja-ostatnia-Karolina-Gądor.xlsx'!incomes_"&amp;$A$2&amp;"[Total]"),0,0,1)</f>
        <v>0</v>
      </c>
      <c r="D15" s="17">
        <f t="shared" ca="1" si="0"/>
        <v>-500</v>
      </c>
      <c r="E15" s="3"/>
      <c r="F15" s="43" t="s">
        <v>15</v>
      </c>
      <c r="G15" s="16">
        <v>300</v>
      </c>
      <c r="H15" s="16" cm="1">
        <f t="array" aca="1" ref="H15" ca="1">-_xlfn.XLOOKUP(F15,INDIRECT("'Finanse-wersja-ostatnia-Karolina-Gądor.xlsx'!expenses_"&amp;$A$2&amp;"[Category]"),INDIRECT("'Finanse-wersja-ostatnia-Karolina-Gądor.xlsx'!expenses_"&amp;$A$2&amp;"[Total]"),0,0,1)</f>
        <v>85</v>
      </c>
      <c r="I15" s="45">
        <f t="shared" ca="1" si="1"/>
        <v>215</v>
      </c>
      <c r="J15" s="3"/>
      <c r="K15" s="53" t="s">
        <v>24</v>
      </c>
      <c r="L15" s="23">
        <f t="shared" ref="L15:L16" ca="1" si="2">DATE(2025,$A$2,10)</f>
        <v>45667</v>
      </c>
      <c r="M15" s="15">
        <v>65</v>
      </c>
      <c r="N15" s="54"/>
      <c r="O15" s="3"/>
      <c r="P15" s="63" t="s">
        <v>39</v>
      </c>
      <c r="Q15" s="37">
        <f ca="1">DATE(2025,$A$2,19)</f>
        <v>45676</v>
      </c>
      <c r="R15" s="38">
        <v>22.99</v>
      </c>
      <c r="S15" s="64"/>
      <c r="T15" s="3"/>
      <c r="U15" s="73" t="s">
        <v>37</v>
      </c>
      <c r="V15" s="7">
        <v>605</v>
      </c>
      <c r="W15" s="74"/>
      <c r="X15" s="74">
        <f>Savings_1[[#This Row],[Planned]]-Savings_1[[#This Row],[Actual]]</f>
        <v>605</v>
      </c>
    </row>
    <row r="16" spans="1:24" ht="16.5" x14ac:dyDescent="0.3">
      <c r="A16" s="5" t="s">
        <v>11</v>
      </c>
      <c r="B16" s="17">
        <v>100</v>
      </c>
      <c r="C16" s="17" cm="1">
        <f t="array" aca="1" ref="C16" ca="1">_xlfn.XLOOKUP(A16,INDIRECT("'Finanse-wersja-ostatnia-Karolina-Gądor.xlsx'!incomes_"&amp;$A$2&amp;"[Category]"),INDIRECT("'Finanse-wersja-ostatnia-Karolina-Gądor.xlsx'!incomes_"&amp;$A$2&amp;"[Total]"),0,0,1)</f>
        <v>800</v>
      </c>
      <c r="D16" s="17">
        <f t="shared" ca="1" si="0"/>
        <v>700</v>
      </c>
      <c r="E16" s="3"/>
      <c r="F16" s="44" t="s">
        <v>16</v>
      </c>
      <c r="G16" s="16">
        <v>750</v>
      </c>
      <c r="H16" s="16" cm="1">
        <f t="array" aca="1" ref="H16" ca="1">-_xlfn.XLOOKUP(F16,INDIRECT("'Finanse-wersja-ostatnia-Karolina-Gądor.xlsx'!expenses_"&amp;$A$2&amp;"[Category]"),INDIRECT("'Finanse-wersja-ostatnia-Karolina-Gądor.xlsx'!expenses_"&amp;$A$2&amp;"[Total]"),0,0,1)</f>
        <v>1715</v>
      </c>
      <c r="I16" s="45">
        <f t="shared" ca="1" si="1"/>
        <v>-965</v>
      </c>
      <c r="J16" s="3"/>
      <c r="K16" s="53" t="s">
        <v>25</v>
      </c>
      <c r="L16" s="23">
        <f t="shared" ca="1" si="2"/>
        <v>45667</v>
      </c>
      <c r="M16" s="15">
        <v>40</v>
      </c>
      <c r="N16" s="54"/>
      <c r="O16" s="3"/>
      <c r="P16" s="63" t="s">
        <v>40</v>
      </c>
      <c r="Q16" s="37">
        <f ca="1">DATE(2025,$A$2,26)</f>
        <v>45683</v>
      </c>
      <c r="R16" s="38">
        <v>100</v>
      </c>
      <c r="S16" s="64"/>
      <c r="T16" s="3"/>
      <c r="U16" s="73"/>
      <c r="V16" s="7"/>
      <c r="W16" s="74"/>
      <c r="X16" s="74">
        <f>Savings_1[[#This Row],[Planned]]-Savings_1[[#This Row],[Actual]]</f>
        <v>0</v>
      </c>
    </row>
    <row r="17" spans="1:24" ht="16.5" x14ac:dyDescent="0.3">
      <c r="A17" s="5" t="s">
        <v>12</v>
      </c>
      <c r="B17" s="17">
        <v>1500</v>
      </c>
      <c r="C17" s="17" cm="1">
        <f t="array" aca="1" ref="C17" ca="1">_xlfn.XLOOKUP(A17,INDIRECT("'Finanse-wersja-ostatnia-Karolina-Gądor.xlsx'!incomes_"&amp;$A$2&amp;"[Category]"),INDIRECT("'Finanse-wersja-ostatnia-Karolina-Gądor.xlsx'!incomes_"&amp;$A$2&amp;"[Total]"),0,0,1)</f>
        <v>4500</v>
      </c>
      <c r="D17" s="17">
        <f t="shared" ca="1" si="0"/>
        <v>3000</v>
      </c>
      <c r="E17" s="3"/>
      <c r="F17" s="43" t="s">
        <v>17</v>
      </c>
      <c r="G17" s="16">
        <v>130</v>
      </c>
      <c r="H17" s="16" cm="1">
        <f t="array" aca="1" ref="H17" ca="1">-_xlfn.XLOOKUP(F17,INDIRECT("'Finanse-wersja-ostatnia-Karolina-Gądor.xlsx'!expenses_"&amp;$A$2&amp;"[Category]"),INDIRECT("'Finanse-wersja-ostatnia-Karolina-Gądor.xlsx'!expenses_"&amp;$A$2&amp;"[Total]"),0,0,1)</f>
        <v>100</v>
      </c>
      <c r="I17" s="45">
        <f t="shared" ca="1" si="1"/>
        <v>30</v>
      </c>
      <c r="J17" s="3"/>
      <c r="K17" s="53" t="s">
        <v>26</v>
      </c>
      <c r="L17" s="23">
        <f ca="1">DATE(2025,$A$2,28)</f>
        <v>45685</v>
      </c>
      <c r="M17" s="15">
        <v>35</v>
      </c>
      <c r="N17" s="54"/>
      <c r="O17" s="3"/>
      <c r="P17" s="63" t="s">
        <v>41</v>
      </c>
      <c r="Q17" s="37">
        <f ca="1">DATE(2025,$A$2,23)</f>
        <v>45680</v>
      </c>
      <c r="R17" s="38">
        <v>42.69</v>
      </c>
      <c r="S17" s="64"/>
      <c r="T17" s="3"/>
      <c r="U17" s="73"/>
      <c r="V17" s="7"/>
      <c r="W17" s="74"/>
      <c r="X17" s="74">
        <f>Savings_1[[#This Row],[Planned]]-Savings_1[[#This Row],[Actual]]</f>
        <v>0</v>
      </c>
    </row>
    <row r="18" spans="1:24" ht="16.5" x14ac:dyDescent="0.3">
      <c r="A18" s="5" t="s">
        <v>13</v>
      </c>
      <c r="B18" s="17">
        <v>800</v>
      </c>
      <c r="C18" s="17" cm="1">
        <f t="array" aca="1" ref="C18" ca="1">_xlfn.XLOOKUP(A18,INDIRECT("'Finanse-wersja-ostatnia-Karolina-Gądor.xlsx'!incomes_"&amp;$A$2&amp;"[Category]"),INDIRECT("'Finanse-wersja-ostatnia-Karolina-Gądor.xlsx'!incomes_"&amp;$A$2&amp;"[Total]"),0,0,1)</f>
        <v>0</v>
      </c>
      <c r="D18" s="17">
        <f t="shared" ca="1" si="0"/>
        <v>-800</v>
      </c>
      <c r="E18" s="3"/>
      <c r="F18" s="43" t="s">
        <v>18</v>
      </c>
      <c r="G18" s="16">
        <v>130</v>
      </c>
      <c r="H18" s="16" cm="1">
        <f t="array" aca="1" ref="H18" ca="1">-_xlfn.XLOOKUP(F18,INDIRECT("'Finanse-wersja-ostatnia-Karolina-Gądor.xlsx'!expenses_"&amp;$A$2&amp;"[Category]"),INDIRECT("'Finanse-wersja-ostatnia-Karolina-Gądor.xlsx'!expenses_"&amp;$A$2&amp;"[Total]"),0,0,1)</f>
        <v>150</v>
      </c>
      <c r="I18" s="45">
        <f t="shared" ca="1" si="1"/>
        <v>-20</v>
      </c>
      <c r="J18" s="3"/>
      <c r="K18" s="53" t="s">
        <v>27</v>
      </c>
      <c r="L18" s="23">
        <f ca="1">DATE(2025,$A$2,20)</f>
        <v>45677</v>
      </c>
      <c r="M18" s="15">
        <v>60</v>
      </c>
      <c r="N18" s="54"/>
      <c r="O18" s="3"/>
      <c r="P18" s="63"/>
      <c r="Q18" s="36"/>
      <c r="R18" s="38"/>
      <c r="S18" s="64"/>
      <c r="T18" s="3"/>
      <c r="U18" s="73"/>
      <c r="V18" s="7"/>
      <c r="W18" s="74"/>
      <c r="X18" s="74">
        <f>Savings_1[[#This Row],[Planned]]-Savings_1[[#This Row],[Actual]]</f>
        <v>0</v>
      </c>
    </row>
    <row r="19" spans="1:24" ht="16.5" x14ac:dyDescent="0.3">
      <c r="A19" s="5"/>
      <c r="B19" s="17"/>
      <c r="C19" s="17" cm="1">
        <f t="array" aca="1" ref="C19" ca="1">_xlfn.XLOOKUP(A19,INDIRECT("'Finanse-wersja-ostatnia-Karolina-Gądor.xlsx'!incomes_"&amp;$A$2&amp;"[Category]"),INDIRECT("'Finanse-wersja-ostatnia-Karolina-Gądor.xlsx'!incomes_"&amp;$A$2&amp;"[Total]"),0,0,1)</f>
        <v>0</v>
      </c>
      <c r="D19" s="17">
        <f t="shared" ca="1" si="0"/>
        <v>0</v>
      </c>
      <c r="E19" s="3"/>
      <c r="F19" s="43" t="s">
        <v>19</v>
      </c>
      <c r="G19" s="16">
        <v>200</v>
      </c>
      <c r="H19" s="16" cm="1">
        <f t="array" aca="1" ref="H19" ca="1">-_xlfn.XLOOKUP(F19,INDIRECT("'Finanse-wersja-ostatnia-Karolina-Gądor.xlsx'!expenses_"&amp;$A$2&amp;"[Category]"),INDIRECT("'Finanse-wersja-ostatnia-Karolina-Gądor.xlsx'!expenses_"&amp;$A$2&amp;"[Total]"),0,0,1)</f>
        <v>500</v>
      </c>
      <c r="I19" s="45">
        <f t="shared" ca="1" si="1"/>
        <v>-300</v>
      </c>
      <c r="J19" s="3"/>
      <c r="K19" s="53"/>
      <c r="L19" s="23"/>
      <c r="M19" s="15"/>
      <c r="N19" s="54"/>
      <c r="O19" s="3"/>
      <c r="P19" s="63"/>
      <c r="Q19" s="36"/>
      <c r="R19" s="38"/>
      <c r="S19" s="64"/>
      <c r="T19" s="3"/>
      <c r="U19" s="73"/>
      <c r="V19" s="7"/>
      <c r="W19" s="74"/>
      <c r="X19" s="74">
        <f>Savings_1[[#This Row],[Planned]]-Savings_1[[#This Row],[Actual]]</f>
        <v>0</v>
      </c>
    </row>
    <row r="20" spans="1:24" ht="16.5" x14ac:dyDescent="0.3">
      <c r="A20" s="18"/>
      <c r="B20" s="17"/>
      <c r="C20" s="17" cm="1">
        <f t="array" aca="1" ref="C20" ca="1">_xlfn.XLOOKUP(A20,INDIRECT("'Finanse-wersja-ostatnia-Karolina-Gądor.xlsx'!incomes_"&amp;$A$2&amp;"[Category]"),INDIRECT("'Finanse-wersja-ostatnia-Karolina-Gądor.xlsx'!incomes_"&amp;$A$2&amp;"[Total]"),0,0,1)</f>
        <v>0</v>
      </c>
      <c r="D20" s="17">
        <f t="shared" ca="1" si="0"/>
        <v>0</v>
      </c>
      <c r="E20" s="3"/>
      <c r="F20" s="44" t="s">
        <v>20</v>
      </c>
      <c r="G20" s="16">
        <v>200</v>
      </c>
      <c r="H20" s="16" cm="1">
        <f t="array" aca="1" ref="H20" ca="1">-_xlfn.XLOOKUP(F20,INDIRECT("'Finanse-wersja-ostatnia-Karolina-Gądor.xlsx'!expenses_"&amp;$A$2&amp;"[Category]"),INDIRECT("'Finanse-wersja-ostatnia-Karolina-Gądor.xlsx'!expenses_"&amp;$A$2&amp;"[Total]"),0,0,1)</f>
        <v>100</v>
      </c>
      <c r="I20" s="45">
        <f t="shared" ca="1" si="1"/>
        <v>100</v>
      </c>
      <c r="J20" s="3"/>
      <c r="K20" s="53"/>
      <c r="L20" s="6"/>
      <c r="M20" s="15"/>
      <c r="N20" s="54"/>
      <c r="O20" s="3"/>
      <c r="P20" s="63"/>
      <c r="Q20" s="36"/>
      <c r="R20" s="38"/>
      <c r="S20" s="64"/>
      <c r="T20" s="3"/>
      <c r="U20" s="73"/>
      <c r="V20" s="7"/>
      <c r="W20" s="74"/>
      <c r="X20" s="74">
        <f>Savings_1[[#This Row],[Planned]]-Savings_1[[#This Row],[Actual]]</f>
        <v>0</v>
      </c>
    </row>
    <row r="21" spans="1:24" ht="16.5" x14ac:dyDescent="0.3">
      <c r="A21" s="5"/>
      <c r="B21" s="17"/>
      <c r="C21" s="17" cm="1">
        <f t="array" aca="1" ref="C21" ca="1">_xlfn.XLOOKUP(A21,INDIRECT("'Finanse-wersja-ostatnia-Karolina-Gądor.xlsx'!incomes_"&amp;$A$2&amp;"[Category]"),INDIRECT("'Finanse-wersja-ostatnia-Karolina-Gądor.xlsx'!incomes_"&amp;$A$2&amp;"[Total]"),0,0,1)</f>
        <v>0</v>
      </c>
      <c r="D21" s="17">
        <f t="shared" ca="1" si="0"/>
        <v>0</v>
      </c>
      <c r="E21" s="3"/>
      <c r="F21" s="43" t="s">
        <v>21</v>
      </c>
      <c r="G21" s="16">
        <v>150</v>
      </c>
      <c r="H21" s="16" cm="1">
        <f t="array" aca="1" ref="H21" ca="1">-_xlfn.XLOOKUP(F21,INDIRECT("'Finanse-wersja-ostatnia-Karolina-Gądor.xlsx'!expenses_"&amp;$A$2&amp;"[Category]"),INDIRECT("'Finanse-wersja-ostatnia-Karolina-Gądor.xlsx'!expenses_"&amp;$A$2&amp;"[Total]"),0,0,1)</f>
        <v>80</v>
      </c>
      <c r="I21" s="45">
        <f t="shared" ca="1" si="1"/>
        <v>70</v>
      </c>
      <c r="J21" s="3"/>
      <c r="K21" s="52"/>
      <c r="L21" s="2"/>
      <c r="M21" s="15"/>
      <c r="N21" s="54"/>
      <c r="O21" s="3"/>
      <c r="P21" s="63"/>
      <c r="Q21" s="36"/>
      <c r="R21" s="38"/>
      <c r="S21" s="64"/>
      <c r="T21" s="3"/>
      <c r="U21" s="73"/>
      <c r="V21" s="7"/>
      <c r="W21" s="74"/>
      <c r="X21" s="74">
        <f>Savings_1[[#This Row],[Planned]]-Savings_1[[#This Row],[Actual]]</f>
        <v>0</v>
      </c>
    </row>
    <row r="22" spans="1:24" ht="16.5" x14ac:dyDescent="0.3">
      <c r="A22" s="5"/>
      <c r="B22" s="17"/>
      <c r="C22" s="17" cm="1">
        <f t="array" aca="1" ref="C22" ca="1">_xlfn.XLOOKUP(A22,INDIRECT("'Finanse-wersja-ostatnia-Karolina-Gądor.xlsx'!incomes_"&amp;$A$2&amp;"[Category]"),INDIRECT("'Finanse-wersja-ostatnia-Karolina-Gądor.xlsx'!incomes_"&amp;$A$2&amp;"[Total]"),0,0,1)</f>
        <v>0</v>
      </c>
      <c r="D22" s="17">
        <f t="shared" ca="1" si="0"/>
        <v>0</v>
      </c>
      <c r="E22" s="3"/>
      <c r="F22" s="43"/>
      <c r="G22" s="16"/>
      <c r="H22" s="16"/>
      <c r="I22" s="45">
        <f t="shared" si="1"/>
        <v>0</v>
      </c>
      <c r="J22" s="3"/>
      <c r="K22" s="53"/>
      <c r="L22" s="6"/>
      <c r="M22" s="15"/>
      <c r="N22" s="54"/>
      <c r="O22" s="3"/>
      <c r="P22" s="63"/>
      <c r="Q22" s="36"/>
      <c r="R22" s="38"/>
      <c r="S22" s="64"/>
      <c r="T22" s="3"/>
      <c r="U22" s="73"/>
      <c r="V22" s="7"/>
      <c r="W22" s="74"/>
      <c r="X22" s="74">
        <f>Savings_1[[#This Row],[Planned]]-Savings_1[[#This Row],[Actual]]</f>
        <v>0</v>
      </c>
    </row>
    <row r="23" spans="1:24" ht="16.5" x14ac:dyDescent="0.3">
      <c r="A23" s="5"/>
      <c r="B23" s="17"/>
      <c r="C23" s="17" cm="1">
        <f t="array" aca="1" ref="C23" ca="1">_xlfn.XLOOKUP(A23,INDIRECT("'Finanse-wersja-ostatnia-Karolina-Gądor.xlsx'!incomes_"&amp;$A$2&amp;"[Category]"),INDIRECT("'Finanse-wersja-ostatnia-Karolina-Gądor.xlsx'!incomes_"&amp;$A$2&amp;"[Total]"),0,0,1)</f>
        <v>0</v>
      </c>
      <c r="D23" s="17">
        <f t="shared" ca="1" si="0"/>
        <v>0</v>
      </c>
      <c r="E23" s="3"/>
      <c r="F23" s="43"/>
      <c r="G23" s="16"/>
      <c r="H23" s="16"/>
      <c r="I23" s="45">
        <f t="shared" si="1"/>
        <v>0</v>
      </c>
      <c r="J23" s="3"/>
      <c r="K23" s="53"/>
      <c r="L23" s="6"/>
      <c r="M23" s="15"/>
      <c r="N23" s="54"/>
      <c r="O23" s="3"/>
      <c r="P23" s="63"/>
      <c r="Q23" s="36"/>
      <c r="R23" s="38"/>
      <c r="S23" s="64"/>
      <c r="T23" s="3"/>
      <c r="U23" s="73"/>
      <c r="V23" s="7"/>
      <c r="W23" s="74"/>
      <c r="X23" s="74">
        <f>Savings_1[[#This Row],[Planned]]-Savings_1[[#This Row],[Actual]]</f>
        <v>0</v>
      </c>
    </row>
    <row r="24" spans="1:24" ht="16.5" x14ac:dyDescent="0.3">
      <c r="A24" s="5"/>
      <c r="B24" s="17"/>
      <c r="C24" s="17" cm="1">
        <f t="array" aca="1" ref="C24" ca="1">_xlfn.XLOOKUP(A24,INDIRECT("'Finanse-wersja-ostatnia-Karolina-Gądor.xlsx'!incomes_"&amp;$A$2&amp;"[Category]"),INDIRECT("'Finanse-wersja-ostatnia-Karolina-Gądor.xlsx'!incomes_"&amp;$A$2&amp;"[Total]"),0,0,1)</f>
        <v>0</v>
      </c>
      <c r="D24" s="17">
        <f t="shared" ca="1" si="0"/>
        <v>0</v>
      </c>
      <c r="E24" s="3"/>
      <c r="F24" s="43"/>
      <c r="G24" s="16"/>
      <c r="H24" s="16"/>
      <c r="I24" s="45">
        <f t="shared" si="1"/>
        <v>0</v>
      </c>
      <c r="J24" s="3"/>
      <c r="K24" s="53"/>
      <c r="L24" s="6"/>
      <c r="M24" s="15"/>
      <c r="N24" s="54"/>
      <c r="O24" s="3"/>
      <c r="P24" s="63"/>
      <c r="Q24" s="36"/>
      <c r="R24" s="38"/>
      <c r="S24" s="64"/>
      <c r="T24" s="3"/>
      <c r="U24" s="73"/>
      <c r="V24" s="7"/>
      <c r="W24" s="74"/>
      <c r="X24" s="74">
        <f>Savings_1[[#This Row],[Planned]]-Savings_1[[#This Row],[Actual]]</f>
        <v>0</v>
      </c>
    </row>
    <row r="25" spans="1:24" ht="16.5" x14ac:dyDescent="0.3">
      <c r="A25" s="5"/>
      <c r="B25" s="17"/>
      <c r="C25" s="17" cm="1">
        <f t="array" aca="1" ref="C25" ca="1">_xlfn.XLOOKUP(A25,INDIRECT("'Finanse-wersja-ostatnia-Karolina-Gądor.xlsx'!incomes_"&amp;$A$2&amp;"[Category]"),INDIRECT("'Finanse-wersja-ostatnia-Karolina-Gądor.xlsx'!incomes_"&amp;$A$2&amp;"[Total]"),0,0,1)</f>
        <v>0</v>
      </c>
      <c r="D25" s="17">
        <f t="shared" ca="1" si="0"/>
        <v>0</v>
      </c>
      <c r="E25" s="3"/>
      <c r="F25" s="43"/>
      <c r="G25" s="16"/>
      <c r="H25" s="16"/>
      <c r="I25" s="45">
        <f t="shared" si="1"/>
        <v>0</v>
      </c>
      <c r="J25" s="3"/>
      <c r="K25" s="53"/>
      <c r="L25" s="6"/>
      <c r="M25" s="15"/>
      <c r="N25" s="54"/>
      <c r="O25" s="3"/>
      <c r="P25" s="63"/>
      <c r="Q25" s="36"/>
      <c r="R25" s="38"/>
      <c r="S25" s="64"/>
      <c r="T25" s="3"/>
      <c r="U25" s="73"/>
      <c r="V25" s="7"/>
      <c r="W25" s="74"/>
      <c r="X25" s="74">
        <f>Savings_1[[#This Row],[Planned]]-Savings_1[[#This Row],[Actual]]</f>
        <v>0</v>
      </c>
    </row>
    <row r="26" spans="1:24" ht="16.5" x14ac:dyDescent="0.3">
      <c r="A26" s="5"/>
      <c r="B26" s="17"/>
      <c r="C26" s="17" cm="1">
        <f t="array" aca="1" ref="C26" ca="1">_xlfn.XLOOKUP(A26,INDIRECT("'Finanse-wersja-ostatnia-Karolina-Gądor.xlsx'!incomes_"&amp;$A$2&amp;"[Category]"),INDIRECT("'Finanse-wersja-ostatnia-Karolina-Gądor.xlsx'!incomes_"&amp;$A$2&amp;"[Total]"),0,0,1)</f>
        <v>0</v>
      </c>
      <c r="D26" s="17">
        <f t="shared" ca="1" si="0"/>
        <v>0</v>
      </c>
      <c r="E26" s="3"/>
      <c r="F26" s="43"/>
      <c r="G26" s="16"/>
      <c r="H26" s="16"/>
      <c r="I26" s="45">
        <f t="shared" si="1"/>
        <v>0</v>
      </c>
      <c r="J26" s="3"/>
      <c r="K26" s="53"/>
      <c r="L26" s="6"/>
      <c r="M26" s="15"/>
      <c r="N26" s="54"/>
      <c r="O26" s="3"/>
      <c r="P26" s="63"/>
      <c r="Q26" s="36"/>
      <c r="R26" s="38"/>
      <c r="S26" s="64"/>
      <c r="T26" s="3"/>
      <c r="U26" s="73"/>
      <c r="V26" s="7"/>
      <c r="W26" s="74"/>
      <c r="X26" s="74">
        <f>Savings_1[[#This Row],[Planned]]-Savings_1[[#This Row],[Actual]]</f>
        <v>0</v>
      </c>
    </row>
    <row r="27" spans="1:24" ht="16.5" x14ac:dyDescent="0.3">
      <c r="A27" s="39"/>
      <c r="B27" s="40"/>
      <c r="C27" s="40" cm="1">
        <f t="array" aca="1" ref="C27" ca="1">_xlfn.XLOOKUP(A27,INDIRECT("'Finanse-wersja-ostatnia-Karolina-Gądor.xlsx'!incomes_"&amp;$A$2&amp;"[Category]"),INDIRECT("'Finanse-wersja-ostatnia-Karolina-Gądor.xlsx'!incomes_"&amp;$A$2&amp;"[Total]"),0,0,1)</f>
        <v>0</v>
      </c>
      <c r="D27" s="40">
        <f t="shared" ca="1" si="0"/>
        <v>0</v>
      </c>
      <c r="E27" s="3"/>
      <c r="F27" s="49"/>
      <c r="G27" s="50"/>
      <c r="H27" s="50"/>
      <c r="I27" s="51">
        <f t="shared" si="1"/>
        <v>0</v>
      </c>
      <c r="J27" s="3"/>
      <c r="K27" s="59"/>
      <c r="L27" s="60"/>
      <c r="M27" s="61"/>
      <c r="N27" s="62"/>
      <c r="O27" s="3"/>
      <c r="P27" s="69"/>
      <c r="Q27" s="70"/>
      <c r="R27" s="71"/>
      <c r="S27" s="72"/>
      <c r="T27" s="3"/>
      <c r="U27" s="78"/>
      <c r="V27" s="79"/>
      <c r="W27" s="80"/>
      <c r="X27" s="74">
        <f>Savings_1[[#This Row],[Planned]]-Savings_1[[#This Row],[Actual]]</f>
        <v>0</v>
      </c>
    </row>
    <row r="28" spans="1:24" ht="16.5" x14ac:dyDescent="0.3">
      <c r="A28" s="41" t="s">
        <v>44</v>
      </c>
      <c r="B28" s="42">
        <f>SUBTOTAL(109,Income_1[Planned])</f>
        <v>5700</v>
      </c>
      <c r="C28" s="42">
        <f ca="1">SUBTOTAL(109,Income_1[Actual])</f>
        <v>5655.5</v>
      </c>
      <c r="D28" s="42">
        <f ca="1">SUBTOTAL(109,Income_1[Left])</f>
        <v>-44.5</v>
      </c>
      <c r="E28" s="3"/>
      <c r="F28" s="8" t="s">
        <v>44</v>
      </c>
      <c r="G28" s="9">
        <f>SUBTOTAL(109,Expenses_1[Planned])</f>
        <v>3795</v>
      </c>
      <c r="H28" s="9">
        <f ca="1">SUBTOTAL(109,Expenses_1[Actual])</f>
        <v>4810</v>
      </c>
      <c r="I28" s="9">
        <f ca="1">SUBTOTAL(109,Expenses_1[Left])</f>
        <v>-1015</v>
      </c>
      <c r="J28" s="10"/>
      <c r="K28" s="11" t="s">
        <v>44</v>
      </c>
      <c r="L28" s="11"/>
      <c r="M28" s="81">
        <f>SUBTOTAL(109,Bills_1[Planned])</f>
        <v>2515</v>
      </c>
      <c r="N28" s="12">
        <f>SUBTOTAL(103,Bills_1[Actual])</f>
        <v>0</v>
      </c>
      <c r="O28" s="10"/>
      <c r="P28" s="13" t="s">
        <v>44</v>
      </c>
      <c r="Q28" s="13"/>
      <c r="R28" s="82">
        <f>SUBTOTAL(109,Subscriptions_1[Planned])</f>
        <v>211.67000000000002</v>
      </c>
      <c r="S28" s="82">
        <f>SUBTOTAL(109,Subscriptions_1[Actual])</f>
        <v>0</v>
      </c>
      <c r="T28" s="10"/>
      <c r="U28" s="14" t="s">
        <v>44</v>
      </c>
      <c r="V28" s="83">
        <f>SUBTOTAL(109,Savings_1[Planned])</f>
        <v>1905</v>
      </c>
      <c r="W28" s="83">
        <f>SUBTOTAL(109,Savings_1[Actual])</f>
        <v>0</v>
      </c>
      <c r="X28" s="84">
        <f>SUBTOTAL(109,Savings_1[Left])</f>
        <v>1905</v>
      </c>
    </row>
    <row r="33" spans="16:17" x14ac:dyDescent="0.25">
      <c r="P33" s="1"/>
      <c r="Q33" s="1"/>
    </row>
  </sheetData>
  <mergeCells count="7">
    <mergeCell ref="P11:S11"/>
    <mergeCell ref="A1:C1"/>
    <mergeCell ref="A2:C2"/>
    <mergeCell ref="K11:N11"/>
    <mergeCell ref="U11:X11"/>
    <mergeCell ref="A11:D11"/>
    <mergeCell ref="F11:I11"/>
  </mergeCells>
  <conditionalFormatting sqref="L13:L27">
    <cfRule type="cellIs" dxfId="6" priority="2" operator="lessThan">
      <formula>TODAY()</formula>
    </cfRule>
  </conditionalFormatting>
  <conditionalFormatting sqref="Q13:Q17">
    <cfRule type="cellIs" dxfId="5" priority="1" operator="lessThan">
      <formula>TODAY()</formula>
    </cfRule>
  </conditionalFormatting>
  <pageMargins left="0.7" right="0.7" top="0.75" bottom="0.75" header="0.3" footer="0.3"/>
  <pageSetup paperSize="9"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Gądor</dc:creator>
  <cp:lastModifiedBy>Karolina Gądor</cp:lastModifiedBy>
  <dcterms:created xsi:type="dcterms:W3CDTF">2025-10-31T12:21:09Z</dcterms:created>
  <dcterms:modified xsi:type="dcterms:W3CDTF">2026-01-08T23:08:27Z</dcterms:modified>
</cp:coreProperties>
</file>